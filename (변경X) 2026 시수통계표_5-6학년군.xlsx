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시수통계표 최종본\"/>
    </mc:Choice>
  </mc:AlternateContent>
  <xr:revisionPtr revIDLastSave="6" documentId="11_BC6E4146FC00C1202858750E97174D4FBFB4B770" xr6:coauthVersionLast="47" xr6:coauthVersionMax="47" xr10:uidLastSave="{2EB1AA47-2FDE-4A7C-AF3D-0ADB206B4342}"/>
  <bookViews>
    <workbookView xWindow="0" yWindow="0" windowWidth="28575" windowHeight="11325" tabRatio="500" firstSheet="2" activeTab="1" xr2:uid="{00000000-000D-0000-FFFF-FFFF00000000}"/>
  </bookViews>
  <sheets>
    <sheet name="5학년 1반" sheetId="1" r:id="rId1"/>
    <sheet name="5학년 2반" sheetId="2" r:id="rId2"/>
    <sheet name="6학년 1반" sheetId="3" r:id="rId3"/>
    <sheet name="6학년 2반" sheetId="4" r:id="rId4"/>
  </sheets>
  <definedNames>
    <definedName name="중학교3학년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58" i="4" l="1"/>
  <c r="AI58" i="4"/>
  <c r="AG58" i="4"/>
  <c r="AE58" i="4"/>
  <c r="AC58" i="4"/>
  <c r="Z58" i="4"/>
  <c r="W58" i="4"/>
  <c r="T58" i="4"/>
  <c r="Q58" i="4"/>
  <c r="N58" i="4"/>
  <c r="K58" i="4"/>
  <c r="H58" i="4"/>
  <c r="E58" i="4"/>
  <c r="AM58" i="4" s="1"/>
  <c r="AK57" i="4"/>
  <c r="AK59" i="4" s="1"/>
  <c r="AK60" i="4" s="1"/>
  <c r="AI57" i="4"/>
  <c r="AI59" i="4" s="1"/>
  <c r="AI60" i="4" s="1"/>
  <c r="AG57" i="4"/>
  <c r="AG59" i="4" s="1"/>
  <c r="AG60" i="4" s="1"/>
  <c r="AE57" i="4"/>
  <c r="AE59" i="4" s="1"/>
  <c r="AE60" i="4" s="1"/>
  <c r="AC57" i="4"/>
  <c r="AC59" i="4" s="1"/>
  <c r="AC60" i="4" s="1"/>
  <c r="Z57" i="4"/>
  <c r="Z59" i="4" s="1"/>
  <c r="Z60" i="4" s="1"/>
  <c r="W57" i="4"/>
  <c r="W59" i="4" s="1"/>
  <c r="W60" i="4" s="1"/>
  <c r="T57" i="4"/>
  <c r="T59" i="4" s="1"/>
  <c r="T60" i="4" s="1"/>
  <c r="Q57" i="4"/>
  <c r="Q59" i="4" s="1"/>
  <c r="Q60" i="4" s="1"/>
  <c r="N57" i="4"/>
  <c r="N59" i="4" s="1"/>
  <c r="N60" i="4" s="1"/>
  <c r="K57" i="4"/>
  <c r="K59" i="4" s="1"/>
  <c r="K60" i="4" s="1"/>
  <c r="H57" i="4"/>
  <c r="H59" i="4" s="1"/>
  <c r="H60" i="4" s="1"/>
  <c r="E57" i="4"/>
  <c r="AM56" i="4"/>
  <c r="AG51" i="4"/>
  <c r="AG52" i="4" s="1"/>
  <c r="Z51" i="4"/>
  <c r="Z52" i="4" s="1"/>
  <c r="S51" i="4"/>
  <c r="S52" i="4" s="1"/>
  <c r="L51" i="4"/>
  <c r="L52" i="4" s="1"/>
  <c r="E51" i="4"/>
  <c r="BB50" i="4"/>
  <c r="BA50" i="4"/>
  <c r="AZ50" i="4"/>
  <c r="AY50" i="4"/>
  <c r="AX50" i="4"/>
  <c r="AW50" i="4"/>
  <c r="AV50" i="4"/>
  <c r="AU50" i="4"/>
  <c r="AS50" i="4"/>
  <c r="AR50" i="4"/>
  <c r="AQ50" i="4"/>
  <c r="AP50" i="4"/>
  <c r="AN50" i="4"/>
  <c r="D50" i="4"/>
  <c r="AT50" i="4" s="1"/>
  <c r="BB49" i="4"/>
  <c r="BA49" i="4"/>
  <c r="AZ49" i="4"/>
  <c r="AY49" i="4"/>
  <c r="AX49" i="4"/>
  <c r="AW49" i="4"/>
  <c r="AV49" i="4"/>
  <c r="AU49" i="4"/>
  <c r="AT49" i="4"/>
  <c r="AS49" i="4"/>
  <c r="AR49" i="4"/>
  <c r="AQ49" i="4"/>
  <c r="AP49" i="4"/>
  <c r="BC49" i="4" s="1"/>
  <c r="BB48" i="4"/>
  <c r="BA48" i="4"/>
  <c r="AZ48" i="4"/>
  <c r="AY48" i="4"/>
  <c r="AX48" i="4"/>
  <c r="AW48" i="4"/>
  <c r="AV48" i="4"/>
  <c r="AU48" i="4"/>
  <c r="AT48" i="4"/>
  <c r="AS48" i="4"/>
  <c r="AR48" i="4"/>
  <c r="AQ48" i="4"/>
  <c r="AP48" i="4"/>
  <c r="BC48" i="4" s="1"/>
  <c r="BB47" i="4"/>
  <c r="BA47" i="4"/>
  <c r="AZ47" i="4"/>
  <c r="AY47" i="4"/>
  <c r="AX47" i="4"/>
  <c r="AW47" i="4"/>
  <c r="AV47" i="4"/>
  <c r="AU47" i="4"/>
  <c r="AT47" i="4"/>
  <c r="AS47" i="4"/>
  <c r="AR47" i="4"/>
  <c r="AQ47" i="4"/>
  <c r="AP47" i="4"/>
  <c r="BC47" i="4" s="1"/>
  <c r="BB46" i="4"/>
  <c r="BA46" i="4"/>
  <c r="AZ46" i="4"/>
  <c r="AY46" i="4"/>
  <c r="AX46" i="4"/>
  <c r="AW46" i="4"/>
  <c r="AV46" i="4"/>
  <c r="AU46" i="4"/>
  <c r="AT46" i="4"/>
  <c r="AS46" i="4"/>
  <c r="AR46" i="4"/>
  <c r="AQ46" i="4"/>
  <c r="AP46" i="4"/>
  <c r="BC46" i="4" s="1"/>
  <c r="BB45" i="4"/>
  <c r="BA45" i="4"/>
  <c r="AZ45" i="4"/>
  <c r="AY45" i="4"/>
  <c r="AX45" i="4"/>
  <c r="AW45" i="4"/>
  <c r="AV45" i="4"/>
  <c r="AU45" i="4"/>
  <c r="AT45" i="4"/>
  <c r="AS45" i="4"/>
  <c r="AR45" i="4"/>
  <c r="AQ45" i="4"/>
  <c r="AP45" i="4"/>
  <c r="BC45" i="4" s="1"/>
  <c r="BB44" i="4"/>
  <c r="BA44" i="4"/>
  <c r="AZ44" i="4"/>
  <c r="AY44" i="4"/>
  <c r="AX44" i="4"/>
  <c r="AW44" i="4"/>
  <c r="AV44" i="4"/>
  <c r="AU44" i="4"/>
  <c r="AT44" i="4"/>
  <c r="AS44" i="4"/>
  <c r="AR44" i="4"/>
  <c r="AQ44" i="4"/>
  <c r="AP44" i="4"/>
  <c r="BC44" i="4" s="1"/>
  <c r="BB43" i="4"/>
  <c r="BA43" i="4"/>
  <c r="AZ43" i="4"/>
  <c r="AY43" i="4"/>
  <c r="AX43" i="4"/>
  <c r="AW43" i="4"/>
  <c r="AV43" i="4"/>
  <c r="AU43" i="4"/>
  <c r="AT43" i="4"/>
  <c r="AS43" i="4"/>
  <c r="AR43" i="4"/>
  <c r="AQ43" i="4"/>
  <c r="AP43" i="4"/>
  <c r="BC43" i="4" s="1"/>
  <c r="BB42" i="4"/>
  <c r="BA42" i="4"/>
  <c r="AZ42" i="4"/>
  <c r="AY42" i="4"/>
  <c r="AX42" i="4"/>
  <c r="AW42" i="4"/>
  <c r="AV42" i="4"/>
  <c r="AU42" i="4"/>
  <c r="AT42" i="4"/>
  <c r="AS42" i="4"/>
  <c r="AR42" i="4"/>
  <c r="AQ42" i="4"/>
  <c r="AP42" i="4"/>
  <c r="BC42" i="4" s="1"/>
  <c r="BB41" i="4"/>
  <c r="BA41" i="4"/>
  <c r="AZ41" i="4"/>
  <c r="AY41" i="4"/>
  <c r="AX41" i="4"/>
  <c r="AW41" i="4"/>
  <c r="AV41" i="4"/>
  <c r="AU41" i="4"/>
  <c r="AT41" i="4"/>
  <c r="AS41" i="4"/>
  <c r="AR41" i="4"/>
  <c r="AQ41" i="4"/>
  <c r="AP41" i="4"/>
  <c r="BC41" i="4" s="1"/>
  <c r="BB40" i="4"/>
  <c r="BA40" i="4"/>
  <c r="AZ40" i="4"/>
  <c r="AY40" i="4"/>
  <c r="AX40" i="4"/>
  <c r="AW40" i="4"/>
  <c r="AV40" i="4"/>
  <c r="AU40" i="4"/>
  <c r="AT40" i="4"/>
  <c r="AS40" i="4"/>
  <c r="AR40" i="4"/>
  <c r="AQ40" i="4"/>
  <c r="AP40" i="4"/>
  <c r="BC40" i="4" s="1"/>
  <c r="BB39" i="4"/>
  <c r="BA39" i="4"/>
  <c r="AZ39" i="4"/>
  <c r="AY39" i="4"/>
  <c r="AX39" i="4"/>
  <c r="AW39" i="4"/>
  <c r="AV39" i="4"/>
  <c r="AU39" i="4"/>
  <c r="AT39" i="4"/>
  <c r="AS39" i="4"/>
  <c r="AR39" i="4"/>
  <c r="AQ39" i="4"/>
  <c r="AP39" i="4"/>
  <c r="BC39" i="4" s="1"/>
  <c r="BB38" i="4"/>
  <c r="BA38" i="4"/>
  <c r="AZ38" i="4"/>
  <c r="AY38" i="4"/>
  <c r="AX38" i="4"/>
  <c r="AW38" i="4"/>
  <c r="AV38" i="4"/>
  <c r="AU38" i="4"/>
  <c r="AT38" i="4"/>
  <c r="AS38" i="4"/>
  <c r="AR38" i="4"/>
  <c r="AQ38" i="4"/>
  <c r="AP38" i="4"/>
  <c r="BC38" i="4" s="1"/>
  <c r="BB37" i="4"/>
  <c r="BA37" i="4"/>
  <c r="AZ37" i="4"/>
  <c r="AY37" i="4"/>
  <c r="AX37" i="4"/>
  <c r="AW37" i="4"/>
  <c r="AV37" i="4"/>
  <c r="AU37" i="4"/>
  <c r="AT37" i="4"/>
  <c r="AS37" i="4"/>
  <c r="AR37" i="4"/>
  <c r="AQ37" i="4"/>
  <c r="AP37" i="4"/>
  <c r="BC37" i="4" s="1"/>
  <c r="BB36" i="4"/>
  <c r="BA36" i="4"/>
  <c r="AZ36" i="4"/>
  <c r="AY36" i="4"/>
  <c r="AX36" i="4"/>
  <c r="AW36" i="4"/>
  <c r="AV36" i="4"/>
  <c r="AU36" i="4"/>
  <c r="AT36" i="4"/>
  <c r="AS36" i="4"/>
  <c r="AR36" i="4"/>
  <c r="AQ36" i="4"/>
  <c r="AP36" i="4"/>
  <c r="BC36" i="4" s="1"/>
  <c r="BB35" i="4"/>
  <c r="BA35" i="4"/>
  <c r="AZ35" i="4"/>
  <c r="AY35" i="4"/>
  <c r="AX35" i="4"/>
  <c r="AW35" i="4"/>
  <c r="AV35" i="4"/>
  <c r="AU35" i="4"/>
  <c r="AT35" i="4"/>
  <c r="AS35" i="4"/>
  <c r="AR35" i="4"/>
  <c r="AQ35" i="4"/>
  <c r="AP35" i="4"/>
  <c r="BC35" i="4" s="1"/>
  <c r="BB34" i="4"/>
  <c r="BA34" i="4"/>
  <c r="AZ34" i="4"/>
  <c r="AY34" i="4"/>
  <c r="AX34" i="4"/>
  <c r="AW34" i="4"/>
  <c r="AV34" i="4"/>
  <c r="AU34" i="4"/>
  <c r="AT34" i="4"/>
  <c r="AS34" i="4"/>
  <c r="AR34" i="4"/>
  <c r="AQ34" i="4"/>
  <c r="AP34" i="4"/>
  <c r="BC34" i="4" s="1"/>
  <c r="BB33" i="4"/>
  <c r="BA33" i="4"/>
  <c r="AZ33" i="4"/>
  <c r="AY33" i="4"/>
  <c r="AX33" i="4"/>
  <c r="AW33" i="4"/>
  <c r="AV33" i="4"/>
  <c r="AU33" i="4"/>
  <c r="AT33" i="4"/>
  <c r="AS33" i="4"/>
  <c r="AR33" i="4"/>
  <c r="AQ33" i="4"/>
  <c r="AP33" i="4"/>
  <c r="BC33" i="4" s="1"/>
  <c r="BB32" i="4"/>
  <c r="BA32" i="4"/>
  <c r="AZ32" i="4"/>
  <c r="AY32" i="4"/>
  <c r="AX32" i="4"/>
  <c r="AW32" i="4"/>
  <c r="AV32" i="4"/>
  <c r="AU32" i="4"/>
  <c r="AT32" i="4"/>
  <c r="AS32" i="4"/>
  <c r="AR32" i="4"/>
  <c r="AQ32" i="4"/>
  <c r="AP32" i="4"/>
  <c r="BC32" i="4" s="1"/>
  <c r="BB31" i="4"/>
  <c r="BA31" i="4"/>
  <c r="AZ31" i="4"/>
  <c r="AY31" i="4"/>
  <c r="AX31" i="4"/>
  <c r="AW31" i="4"/>
  <c r="AV31" i="4"/>
  <c r="AU31" i="4"/>
  <c r="AT31" i="4"/>
  <c r="AS31" i="4"/>
  <c r="AR31" i="4"/>
  <c r="AQ31" i="4"/>
  <c r="AP31" i="4"/>
  <c r="BC31" i="4" s="1"/>
  <c r="BB30" i="4"/>
  <c r="BB51" i="4" s="1"/>
  <c r="BA30" i="4"/>
  <c r="BA51" i="4" s="1"/>
  <c r="AZ30" i="4"/>
  <c r="AZ51" i="4" s="1"/>
  <c r="AY30" i="4"/>
  <c r="AY51" i="4" s="1"/>
  <c r="AX30" i="4"/>
  <c r="AX51" i="4" s="1"/>
  <c r="AW30" i="4"/>
  <c r="AW51" i="4" s="1"/>
  <c r="AV30" i="4"/>
  <c r="AV51" i="4" s="1"/>
  <c r="AU30" i="4"/>
  <c r="AU51" i="4" s="1"/>
  <c r="AT30" i="4"/>
  <c r="AT51" i="4" s="1"/>
  <c r="AS30" i="4"/>
  <c r="AS51" i="4" s="1"/>
  <c r="AR30" i="4"/>
  <c r="AR51" i="4" s="1"/>
  <c r="AQ30" i="4"/>
  <c r="AQ51" i="4" s="1"/>
  <c r="AP30" i="4"/>
  <c r="AN26" i="4"/>
  <c r="D26" i="4"/>
  <c r="D51" i="4" s="1"/>
  <c r="BB25" i="4"/>
  <c r="BA25" i="4"/>
  <c r="AZ25" i="4"/>
  <c r="AY25" i="4"/>
  <c r="AX25" i="4"/>
  <c r="AW25" i="4"/>
  <c r="AV25" i="4"/>
  <c r="AU25" i="4"/>
  <c r="AT25" i="4"/>
  <c r="AS25" i="4"/>
  <c r="AR25" i="4"/>
  <c r="AQ25" i="4"/>
  <c r="AP25" i="4"/>
  <c r="BC25" i="4" s="1"/>
  <c r="BB24" i="4"/>
  <c r="BA24" i="4"/>
  <c r="AZ24" i="4"/>
  <c r="AY24" i="4"/>
  <c r="AX24" i="4"/>
  <c r="AW24" i="4"/>
  <c r="AV24" i="4"/>
  <c r="AU24" i="4"/>
  <c r="AT24" i="4"/>
  <c r="AS24" i="4"/>
  <c r="AR24" i="4"/>
  <c r="AQ24" i="4"/>
  <c r="AP24" i="4"/>
  <c r="BC24" i="4" s="1"/>
  <c r="BB23" i="4"/>
  <c r="BA23" i="4"/>
  <c r="AZ23" i="4"/>
  <c r="AY23" i="4"/>
  <c r="AX23" i="4"/>
  <c r="AW23" i="4"/>
  <c r="AV23" i="4"/>
  <c r="AU23" i="4"/>
  <c r="AT23" i="4"/>
  <c r="AS23" i="4"/>
  <c r="AR23" i="4"/>
  <c r="AQ23" i="4"/>
  <c r="AP23" i="4"/>
  <c r="BC23" i="4" s="1"/>
  <c r="BB22" i="4"/>
  <c r="BA22" i="4"/>
  <c r="AZ22" i="4"/>
  <c r="AY22" i="4"/>
  <c r="AX22" i="4"/>
  <c r="AW22" i="4"/>
  <c r="AV22" i="4"/>
  <c r="AU22" i="4"/>
  <c r="AT22" i="4"/>
  <c r="AS22" i="4"/>
  <c r="AR22" i="4"/>
  <c r="AQ22" i="4"/>
  <c r="AP22" i="4"/>
  <c r="BC22" i="4" s="1"/>
  <c r="BB21" i="4"/>
  <c r="BA21" i="4"/>
  <c r="AZ21" i="4"/>
  <c r="AY21" i="4"/>
  <c r="AX21" i="4"/>
  <c r="AW21" i="4"/>
  <c r="AV21" i="4"/>
  <c r="AU21" i="4"/>
  <c r="AT21" i="4"/>
  <c r="AS21" i="4"/>
  <c r="AR21" i="4"/>
  <c r="AQ21" i="4"/>
  <c r="AP21" i="4"/>
  <c r="BC21" i="4" s="1"/>
  <c r="BB20" i="4"/>
  <c r="BA20" i="4"/>
  <c r="AZ20" i="4"/>
  <c r="AY20" i="4"/>
  <c r="AX20" i="4"/>
  <c r="AW20" i="4"/>
  <c r="AV20" i="4"/>
  <c r="AU20" i="4"/>
  <c r="AT20" i="4"/>
  <c r="AS20" i="4"/>
  <c r="AR20" i="4"/>
  <c r="AQ20" i="4"/>
  <c r="AP20" i="4"/>
  <c r="BC20" i="4" s="1"/>
  <c r="BB19" i="4"/>
  <c r="BA19" i="4"/>
  <c r="AZ19" i="4"/>
  <c r="AY19" i="4"/>
  <c r="AX19" i="4"/>
  <c r="AW19" i="4"/>
  <c r="AV19" i="4"/>
  <c r="AU19" i="4"/>
  <c r="AT19" i="4"/>
  <c r="AS19" i="4"/>
  <c r="AR19" i="4"/>
  <c r="AQ19" i="4"/>
  <c r="AP19" i="4"/>
  <c r="BC19" i="4" s="1"/>
  <c r="BB18" i="4"/>
  <c r="BA18" i="4"/>
  <c r="AZ18" i="4"/>
  <c r="AY18" i="4"/>
  <c r="AX18" i="4"/>
  <c r="AW18" i="4"/>
  <c r="AV18" i="4"/>
  <c r="AU18" i="4"/>
  <c r="AT18" i="4"/>
  <c r="AS18" i="4"/>
  <c r="AR18" i="4"/>
  <c r="AQ18" i="4"/>
  <c r="AP18" i="4"/>
  <c r="BC18" i="4" s="1"/>
  <c r="BB17" i="4"/>
  <c r="BA17" i="4"/>
  <c r="AZ17" i="4"/>
  <c r="AY17" i="4"/>
  <c r="AX17" i="4"/>
  <c r="AW17" i="4"/>
  <c r="AV17" i="4"/>
  <c r="AU17" i="4"/>
  <c r="AT17" i="4"/>
  <c r="AS17" i="4"/>
  <c r="AR17" i="4"/>
  <c r="AQ17" i="4"/>
  <c r="AP17" i="4"/>
  <c r="BC17" i="4" s="1"/>
  <c r="BB16" i="4"/>
  <c r="BA16" i="4"/>
  <c r="AZ16" i="4"/>
  <c r="AY16" i="4"/>
  <c r="AX16" i="4"/>
  <c r="AW16" i="4"/>
  <c r="AV16" i="4"/>
  <c r="AU16" i="4"/>
  <c r="AT16" i="4"/>
  <c r="AS16" i="4"/>
  <c r="AR16" i="4"/>
  <c r="AQ16" i="4"/>
  <c r="AP16" i="4"/>
  <c r="BC16" i="4" s="1"/>
  <c r="BB15" i="4"/>
  <c r="BA15" i="4"/>
  <c r="AZ15" i="4"/>
  <c r="AY15" i="4"/>
  <c r="AX15" i="4"/>
  <c r="AW15" i="4"/>
  <c r="AV15" i="4"/>
  <c r="AU15" i="4"/>
  <c r="AT15" i="4"/>
  <c r="AS15" i="4"/>
  <c r="AR15" i="4"/>
  <c r="AQ15" i="4"/>
  <c r="AP15" i="4"/>
  <c r="BC15" i="4" s="1"/>
  <c r="BB14" i="4"/>
  <c r="BA14" i="4"/>
  <c r="AZ14" i="4"/>
  <c r="AY14" i="4"/>
  <c r="AX14" i="4"/>
  <c r="AW14" i="4"/>
  <c r="AV14" i="4"/>
  <c r="AU14" i="4"/>
  <c r="AT14" i="4"/>
  <c r="AS14" i="4"/>
  <c r="AR14" i="4"/>
  <c r="AQ14" i="4"/>
  <c r="AP14" i="4"/>
  <c r="BC14" i="4" s="1"/>
  <c r="BB13" i="4"/>
  <c r="BA13" i="4"/>
  <c r="AZ13" i="4"/>
  <c r="AY13" i="4"/>
  <c r="AX13" i="4"/>
  <c r="AW13" i="4"/>
  <c r="AV13" i="4"/>
  <c r="AU13" i="4"/>
  <c r="AT13" i="4"/>
  <c r="AS13" i="4"/>
  <c r="AR13" i="4"/>
  <c r="AQ13" i="4"/>
  <c r="AP13" i="4"/>
  <c r="BC13" i="4" s="1"/>
  <c r="BB12" i="4"/>
  <c r="BA12" i="4"/>
  <c r="AZ12" i="4"/>
  <c r="AY12" i="4"/>
  <c r="AX12" i="4"/>
  <c r="AW12" i="4"/>
  <c r="AV12" i="4"/>
  <c r="AU12" i="4"/>
  <c r="AT12" i="4"/>
  <c r="AS12" i="4"/>
  <c r="AR12" i="4"/>
  <c r="AQ12" i="4"/>
  <c r="AP12" i="4"/>
  <c r="BC12" i="4" s="1"/>
  <c r="BB11" i="4"/>
  <c r="BA11" i="4"/>
  <c r="AZ11" i="4"/>
  <c r="AY11" i="4"/>
  <c r="AX11" i="4"/>
  <c r="AW11" i="4"/>
  <c r="AV11" i="4"/>
  <c r="AU11" i="4"/>
  <c r="AT11" i="4"/>
  <c r="AS11" i="4"/>
  <c r="AR11" i="4"/>
  <c r="AQ11" i="4"/>
  <c r="AP11" i="4"/>
  <c r="BC11" i="4" s="1"/>
  <c r="BB10" i="4"/>
  <c r="BA10" i="4"/>
  <c r="AZ10" i="4"/>
  <c r="AY10" i="4"/>
  <c r="AX10" i="4"/>
  <c r="AW10" i="4"/>
  <c r="AV10" i="4"/>
  <c r="AU10" i="4"/>
  <c r="AT10" i="4"/>
  <c r="AS10" i="4"/>
  <c r="AR10" i="4"/>
  <c r="AQ10" i="4"/>
  <c r="AP10" i="4"/>
  <c r="BC10" i="4" s="1"/>
  <c r="BB9" i="4"/>
  <c r="BA9" i="4"/>
  <c r="AZ9" i="4"/>
  <c r="AY9" i="4"/>
  <c r="AX9" i="4"/>
  <c r="AW9" i="4"/>
  <c r="AV9" i="4"/>
  <c r="AU9" i="4"/>
  <c r="AT9" i="4"/>
  <c r="AS9" i="4"/>
  <c r="AR9" i="4"/>
  <c r="AQ9" i="4"/>
  <c r="AP9" i="4"/>
  <c r="BC9" i="4" s="1"/>
  <c r="BB8" i="4"/>
  <c r="BA8" i="4"/>
  <c r="AZ8" i="4"/>
  <c r="AY8" i="4"/>
  <c r="AX8" i="4"/>
  <c r="AW8" i="4"/>
  <c r="AV8" i="4"/>
  <c r="AU8" i="4"/>
  <c r="AT8" i="4"/>
  <c r="AS8" i="4"/>
  <c r="AR8" i="4"/>
  <c r="AQ8" i="4"/>
  <c r="AP8" i="4"/>
  <c r="BC8" i="4" s="1"/>
  <c r="BB7" i="4"/>
  <c r="BA7" i="4"/>
  <c r="AZ7" i="4"/>
  <c r="AY7" i="4"/>
  <c r="AX7" i="4"/>
  <c r="AW7" i="4"/>
  <c r="AV7" i="4"/>
  <c r="AU7" i="4"/>
  <c r="AT7" i="4"/>
  <c r="AS7" i="4"/>
  <c r="AR7" i="4"/>
  <c r="AQ7" i="4"/>
  <c r="AP7" i="4"/>
  <c r="BC7" i="4" s="1"/>
  <c r="BB6" i="4"/>
  <c r="BA6" i="4"/>
  <c r="AZ6" i="4"/>
  <c r="AY6" i="4"/>
  <c r="AX6" i="4"/>
  <c r="AW6" i="4"/>
  <c r="AV6" i="4"/>
  <c r="AU6" i="4"/>
  <c r="AT6" i="4"/>
  <c r="AS6" i="4"/>
  <c r="AR6" i="4"/>
  <c r="AQ6" i="4"/>
  <c r="AP6" i="4"/>
  <c r="BC6" i="4" s="1"/>
  <c r="BB5" i="4"/>
  <c r="BB26" i="4" s="1"/>
  <c r="BB52" i="4" s="1"/>
  <c r="BA5" i="4"/>
  <c r="BA26" i="4" s="1"/>
  <c r="BA52" i="4" s="1"/>
  <c r="AZ5" i="4"/>
  <c r="AZ26" i="4" s="1"/>
  <c r="AZ52" i="4" s="1"/>
  <c r="AY5" i="4"/>
  <c r="AY26" i="4" s="1"/>
  <c r="AY52" i="4" s="1"/>
  <c r="AX5" i="4"/>
  <c r="AX26" i="4" s="1"/>
  <c r="AX52" i="4" s="1"/>
  <c r="AW5" i="4"/>
  <c r="AW26" i="4" s="1"/>
  <c r="AW52" i="4" s="1"/>
  <c r="AV5" i="4"/>
  <c r="AV26" i="4" s="1"/>
  <c r="AV52" i="4" s="1"/>
  <c r="AU5" i="4"/>
  <c r="AU26" i="4" s="1"/>
  <c r="AU52" i="4" s="1"/>
  <c r="AT5" i="4"/>
  <c r="AT26" i="4" s="1"/>
  <c r="AT52" i="4" s="1"/>
  <c r="AS5" i="4"/>
  <c r="AS26" i="4" s="1"/>
  <c r="AS52" i="4" s="1"/>
  <c r="AR5" i="4"/>
  <c r="AR26" i="4" s="1"/>
  <c r="AR52" i="4" s="1"/>
  <c r="AQ5" i="4"/>
  <c r="AQ26" i="4" s="1"/>
  <c r="AQ52" i="4" s="1"/>
  <c r="AP5" i="4"/>
  <c r="AK58" i="3"/>
  <c r="AI58" i="3"/>
  <c r="AG58" i="3"/>
  <c r="AE58" i="3"/>
  <c r="AC58" i="3"/>
  <c r="Z58" i="3"/>
  <c r="W58" i="3"/>
  <c r="T58" i="3"/>
  <c r="Q58" i="3"/>
  <c r="N58" i="3"/>
  <c r="K58" i="3"/>
  <c r="H58" i="3"/>
  <c r="E58" i="3"/>
  <c r="AM58" i="3" s="1"/>
  <c r="AK57" i="3"/>
  <c r="AK59" i="3" s="1"/>
  <c r="AK60" i="3" s="1"/>
  <c r="AI57" i="3"/>
  <c r="AI59" i="3" s="1"/>
  <c r="AI60" i="3" s="1"/>
  <c r="AG57" i="3"/>
  <c r="AG59" i="3" s="1"/>
  <c r="AG60" i="3" s="1"/>
  <c r="AE57" i="3"/>
  <c r="AE59" i="3" s="1"/>
  <c r="AE60" i="3" s="1"/>
  <c r="AC57" i="3"/>
  <c r="AC59" i="3" s="1"/>
  <c r="AC60" i="3" s="1"/>
  <c r="Z57" i="3"/>
  <c r="Z59" i="3" s="1"/>
  <c r="Z60" i="3" s="1"/>
  <c r="W57" i="3"/>
  <c r="W59" i="3" s="1"/>
  <c r="W60" i="3" s="1"/>
  <c r="T57" i="3"/>
  <c r="T59" i="3" s="1"/>
  <c r="T60" i="3" s="1"/>
  <c r="Q57" i="3"/>
  <c r="Q59" i="3" s="1"/>
  <c r="Q60" i="3" s="1"/>
  <c r="N57" i="3"/>
  <c r="N59" i="3" s="1"/>
  <c r="N60" i="3" s="1"/>
  <c r="K57" i="3"/>
  <c r="K59" i="3" s="1"/>
  <c r="K60" i="3" s="1"/>
  <c r="H57" i="3"/>
  <c r="H59" i="3" s="1"/>
  <c r="H60" i="3" s="1"/>
  <c r="E57" i="3"/>
  <c r="AM56" i="3"/>
  <c r="AG51" i="3"/>
  <c r="AG52" i="3" s="1"/>
  <c r="Z51" i="3"/>
  <c r="Z52" i="3" s="1"/>
  <c r="S51" i="3"/>
  <c r="S52" i="3" s="1"/>
  <c r="L51" i="3"/>
  <c r="L52" i="3" s="1"/>
  <c r="E51" i="3"/>
  <c r="BB50" i="3"/>
  <c r="BA50" i="3"/>
  <c r="AZ50" i="3"/>
  <c r="AY50" i="3"/>
  <c r="AX50" i="3"/>
  <c r="AW50" i="3"/>
  <c r="AV50" i="3"/>
  <c r="AU50" i="3"/>
  <c r="AS50" i="3"/>
  <c r="AR50" i="3"/>
  <c r="AQ50" i="3"/>
  <c r="AP50" i="3"/>
  <c r="AN50" i="3"/>
  <c r="D50" i="3"/>
  <c r="AT50" i="3" s="1"/>
  <c r="BB49" i="3"/>
  <c r="BA49" i="3"/>
  <c r="AZ49" i="3"/>
  <c r="AY49" i="3"/>
  <c r="AX49" i="3"/>
  <c r="AW49" i="3"/>
  <c r="AV49" i="3"/>
  <c r="AU49" i="3"/>
  <c r="AT49" i="3"/>
  <c r="AS49" i="3"/>
  <c r="AR49" i="3"/>
  <c r="AQ49" i="3"/>
  <c r="AP49" i="3"/>
  <c r="BC49" i="3" s="1"/>
  <c r="BB48" i="3"/>
  <c r="BA48" i="3"/>
  <c r="AZ48" i="3"/>
  <c r="AY48" i="3"/>
  <c r="AX48" i="3"/>
  <c r="AW48" i="3"/>
  <c r="AV48" i="3"/>
  <c r="AU48" i="3"/>
  <c r="AT48" i="3"/>
  <c r="AS48" i="3"/>
  <c r="AR48" i="3"/>
  <c r="AQ48" i="3"/>
  <c r="AP48" i="3"/>
  <c r="BC48" i="3" s="1"/>
  <c r="BB47" i="3"/>
  <c r="BA47" i="3"/>
  <c r="AZ47" i="3"/>
  <c r="AY47" i="3"/>
  <c r="AX47" i="3"/>
  <c r="AW47" i="3"/>
  <c r="AV47" i="3"/>
  <c r="AU47" i="3"/>
  <c r="AT47" i="3"/>
  <c r="AS47" i="3"/>
  <c r="AR47" i="3"/>
  <c r="AQ47" i="3"/>
  <c r="AP47" i="3"/>
  <c r="BC47" i="3" s="1"/>
  <c r="BB46" i="3"/>
  <c r="BA46" i="3"/>
  <c r="AZ46" i="3"/>
  <c r="AY46" i="3"/>
  <c r="AX46" i="3"/>
  <c r="AW46" i="3"/>
  <c r="AV46" i="3"/>
  <c r="AU46" i="3"/>
  <c r="AT46" i="3"/>
  <c r="AS46" i="3"/>
  <c r="AR46" i="3"/>
  <c r="AQ46" i="3"/>
  <c r="AP46" i="3"/>
  <c r="BC46" i="3" s="1"/>
  <c r="BB45" i="3"/>
  <c r="BA45" i="3"/>
  <c r="AZ45" i="3"/>
  <c r="AY45" i="3"/>
  <c r="AX45" i="3"/>
  <c r="AW45" i="3"/>
  <c r="AV45" i="3"/>
  <c r="AU45" i="3"/>
  <c r="AT45" i="3"/>
  <c r="AS45" i="3"/>
  <c r="AR45" i="3"/>
  <c r="AQ45" i="3"/>
  <c r="AP45" i="3"/>
  <c r="BC45" i="3" s="1"/>
  <c r="BB44" i="3"/>
  <c r="BA44" i="3"/>
  <c r="AZ44" i="3"/>
  <c r="AY44" i="3"/>
  <c r="AX44" i="3"/>
  <c r="AW44" i="3"/>
  <c r="AV44" i="3"/>
  <c r="AU44" i="3"/>
  <c r="AT44" i="3"/>
  <c r="AS44" i="3"/>
  <c r="AR44" i="3"/>
  <c r="AQ44" i="3"/>
  <c r="AP44" i="3"/>
  <c r="BC44" i="3" s="1"/>
  <c r="BB43" i="3"/>
  <c r="BA43" i="3"/>
  <c r="AZ43" i="3"/>
  <c r="AY43" i="3"/>
  <c r="AX43" i="3"/>
  <c r="AW43" i="3"/>
  <c r="AV43" i="3"/>
  <c r="AU43" i="3"/>
  <c r="AT43" i="3"/>
  <c r="AS43" i="3"/>
  <c r="AR43" i="3"/>
  <c r="AQ43" i="3"/>
  <c r="AP43" i="3"/>
  <c r="BC43" i="3" s="1"/>
  <c r="BB42" i="3"/>
  <c r="BA42" i="3"/>
  <c r="AZ42" i="3"/>
  <c r="AY42" i="3"/>
  <c r="AX42" i="3"/>
  <c r="AW42" i="3"/>
  <c r="AV42" i="3"/>
  <c r="AU42" i="3"/>
  <c r="AT42" i="3"/>
  <c r="AS42" i="3"/>
  <c r="AR42" i="3"/>
  <c r="AQ42" i="3"/>
  <c r="AP42" i="3"/>
  <c r="BC42" i="3" s="1"/>
  <c r="BB41" i="3"/>
  <c r="BA41" i="3"/>
  <c r="AZ41" i="3"/>
  <c r="AY41" i="3"/>
  <c r="AX41" i="3"/>
  <c r="AW41" i="3"/>
  <c r="AV41" i="3"/>
  <c r="AU41" i="3"/>
  <c r="AT41" i="3"/>
  <c r="AS41" i="3"/>
  <c r="AR41" i="3"/>
  <c r="AQ41" i="3"/>
  <c r="AP41" i="3"/>
  <c r="BC41" i="3" s="1"/>
  <c r="BB40" i="3"/>
  <c r="BA40" i="3"/>
  <c r="AZ40" i="3"/>
  <c r="AY40" i="3"/>
  <c r="AX40" i="3"/>
  <c r="AW40" i="3"/>
  <c r="AV40" i="3"/>
  <c r="AU40" i="3"/>
  <c r="AT40" i="3"/>
  <c r="AS40" i="3"/>
  <c r="AR40" i="3"/>
  <c r="AQ40" i="3"/>
  <c r="AP40" i="3"/>
  <c r="BC40" i="3" s="1"/>
  <c r="BB39" i="3"/>
  <c r="BA39" i="3"/>
  <c r="AZ39" i="3"/>
  <c r="AY39" i="3"/>
  <c r="AX39" i="3"/>
  <c r="AW39" i="3"/>
  <c r="AV39" i="3"/>
  <c r="AU39" i="3"/>
  <c r="AT39" i="3"/>
  <c r="AS39" i="3"/>
  <c r="AR39" i="3"/>
  <c r="AQ39" i="3"/>
  <c r="AP39" i="3"/>
  <c r="BC39" i="3" s="1"/>
  <c r="BB38" i="3"/>
  <c r="BA38" i="3"/>
  <c r="AZ38" i="3"/>
  <c r="AY38" i="3"/>
  <c r="AX38" i="3"/>
  <c r="AW38" i="3"/>
  <c r="AV38" i="3"/>
  <c r="AU38" i="3"/>
  <c r="AT38" i="3"/>
  <c r="AS38" i="3"/>
  <c r="AR38" i="3"/>
  <c r="AQ38" i="3"/>
  <c r="AP38" i="3"/>
  <c r="BC38" i="3" s="1"/>
  <c r="BB37" i="3"/>
  <c r="BA37" i="3"/>
  <c r="AZ37" i="3"/>
  <c r="AY37" i="3"/>
  <c r="AX37" i="3"/>
  <c r="AW37" i="3"/>
  <c r="AV37" i="3"/>
  <c r="AU37" i="3"/>
  <c r="AT37" i="3"/>
  <c r="AS37" i="3"/>
  <c r="AR37" i="3"/>
  <c r="AQ37" i="3"/>
  <c r="AP37" i="3"/>
  <c r="BC37" i="3" s="1"/>
  <c r="BB36" i="3"/>
  <c r="BA36" i="3"/>
  <c r="AZ36" i="3"/>
  <c r="AY36" i="3"/>
  <c r="AX36" i="3"/>
  <c r="AW36" i="3"/>
  <c r="AV36" i="3"/>
  <c r="AU36" i="3"/>
  <c r="AT36" i="3"/>
  <c r="AS36" i="3"/>
  <c r="AR36" i="3"/>
  <c r="AQ36" i="3"/>
  <c r="AP36" i="3"/>
  <c r="BC36" i="3" s="1"/>
  <c r="BB35" i="3"/>
  <c r="BA35" i="3"/>
  <c r="AZ35" i="3"/>
  <c r="AY35" i="3"/>
  <c r="AX35" i="3"/>
  <c r="AW35" i="3"/>
  <c r="AV35" i="3"/>
  <c r="AU35" i="3"/>
  <c r="AT35" i="3"/>
  <c r="AS35" i="3"/>
  <c r="AR35" i="3"/>
  <c r="AQ35" i="3"/>
  <c r="AP35" i="3"/>
  <c r="BC35" i="3" s="1"/>
  <c r="BB34" i="3"/>
  <c r="BA34" i="3"/>
  <c r="AZ34" i="3"/>
  <c r="AY34" i="3"/>
  <c r="AX34" i="3"/>
  <c r="AW34" i="3"/>
  <c r="AV34" i="3"/>
  <c r="AU34" i="3"/>
  <c r="AT34" i="3"/>
  <c r="AS34" i="3"/>
  <c r="AR34" i="3"/>
  <c r="AQ34" i="3"/>
  <c r="AP34" i="3"/>
  <c r="BC34" i="3" s="1"/>
  <c r="BB33" i="3"/>
  <c r="BA33" i="3"/>
  <c r="AZ33" i="3"/>
  <c r="AY33" i="3"/>
  <c r="AX33" i="3"/>
  <c r="AW33" i="3"/>
  <c r="AV33" i="3"/>
  <c r="AU33" i="3"/>
  <c r="AT33" i="3"/>
  <c r="AS33" i="3"/>
  <c r="AR33" i="3"/>
  <c r="AQ33" i="3"/>
  <c r="AP33" i="3"/>
  <c r="BC33" i="3" s="1"/>
  <c r="BB32" i="3"/>
  <c r="BA32" i="3"/>
  <c r="AZ32" i="3"/>
  <c r="AY32" i="3"/>
  <c r="AX32" i="3"/>
  <c r="AW32" i="3"/>
  <c r="AV32" i="3"/>
  <c r="AU32" i="3"/>
  <c r="AT32" i="3"/>
  <c r="AS32" i="3"/>
  <c r="AR32" i="3"/>
  <c r="AQ32" i="3"/>
  <c r="AP32" i="3"/>
  <c r="BC32" i="3" s="1"/>
  <c r="BB31" i="3"/>
  <c r="BA31" i="3"/>
  <c r="AZ31" i="3"/>
  <c r="AY31" i="3"/>
  <c r="AX31" i="3"/>
  <c r="AW31" i="3"/>
  <c r="AV31" i="3"/>
  <c r="AU31" i="3"/>
  <c r="AT31" i="3"/>
  <c r="AS31" i="3"/>
  <c r="AR31" i="3"/>
  <c r="AQ31" i="3"/>
  <c r="AP31" i="3"/>
  <c r="BC31" i="3" s="1"/>
  <c r="BB30" i="3"/>
  <c r="BB51" i="3" s="1"/>
  <c r="BA30" i="3"/>
  <c r="BA51" i="3" s="1"/>
  <c r="AZ30" i="3"/>
  <c r="AZ51" i="3" s="1"/>
  <c r="AY30" i="3"/>
  <c r="AY51" i="3" s="1"/>
  <c r="AX30" i="3"/>
  <c r="AX51" i="3" s="1"/>
  <c r="AW30" i="3"/>
  <c r="AW51" i="3" s="1"/>
  <c r="AV30" i="3"/>
  <c r="AV51" i="3" s="1"/>
  <c r="AU30" i="3"/>
  <c r="AU51" i="3" s="1"/>
  <c r="AT30" i="3"/>
  <c r="AT51" i="3" s="1"/>
  <c r="AS30" i="3"/>
  <c r="AS51" i="3" s="1"/>
  <c r="AR30" i="3"/>
  <c r="AR51" i="3" s="1"/>
  <c r="AQ30" i="3"/>
  <c r="AQ51" i="3" s="1"/>
  <c r="AP30" i="3"/>
  <c r="AN26" i="3"/>
  <c r="D26" i="3"/>
  <c r="D51" i="3" s="1"/>
  <c r="BB25" i="3"/>
  <c r="BA25" i="3"/>
  <c r="AZ25" i="3"/>
  <c r="AY25" i="3"/>
  <c r="AX25" i="3"/>
  <c r="AW25" i="3"/>
  <c r="AV25" i="3"/>
  <c r="AU25" i="3"/>
  <c r="AT25" i="3"/>
  <c r="AS25" i="3"/>
  <c r="AR25" i="3"/>
  <c r="AQ25" i="3"/>
  <c r="AP25" i="3"/>
  <c r="BC25" i="3" s="1"/>
  <c r="BB24" i="3"/>
  <c r="BA24" i="3"/>
  <c r="AZ24" i="3"/>
  <c r="AY24" i="3"/>
  <c r="AX24" i="3"/>
  <c r="AW24" i="3"/>
  <c r="AV24" i="3"/>
  <c r="AU24" i="3"/>
  <c r="AT24" i="3"/>
  <c r="AS24" i="3"/>
  <c r="AR24" i="3"/>
  <c r="AQ24" i="3"/>
  <c r="AP24" i="3"/>
  <c r="BC24" i="3" s="1"/>
  <c r="BB23" i="3"/>
  <c r="BA23" i="3"/>
  <c r="AZ23" i="3"/>
  <c r="AY23" i="3"/>
  <c r="AX23" i="3"/>
  <c r="AW23" i="3"/>
  <c r="AV23" i="3"/>
  <c r="AU23" i="3"/>
  <c r="AT23" i="3"/>
  <c r="AS23" i="3"/>
  <c r="AR23" i="3"/>
  <c r="AQ23" i="3"/>
  <c r="AP23" i="3"/>
  <c r="BC23" i="3" s="1"/>
  <c r="BB22" i="3"/>
  <c r="BA22" i="3"/>
  <c r="AZ22" i="3"/>
  <c r="AY22" i="3"/>
  <c r="AX22" i="3"/>
  <c r="AW22" i="3"/>
  <c r="AV22" i="3"/>
  <c r="AU22" i="3"/>
  <c r="AT22" i="3"/>
  <c r="AS22" i="3"/>
  <c r="AR22" i="3"/>
  <c r="AQ22" i="3"/>
  <c r="AP22" i="3"/>
  <c r="BC22" i="3" s="1"/>
  <c r="BB21" i="3"/>
  <c r="BA21" i="3"/>
  <c r="AZ21" i="3"/>
  <c r="AY21" i="3"/>
  <c r="AX21" i="3"/>
  <c r="AW21" i="3"/>
  <c r="AV21" i="3"/>
  <c r="AU21" i="3"/>
  <c r="AT21" i="3"/>
  <c r="AS21" i="3"/>
  <c r="AR21" i="3"/>
  <c r="AQ21" i="3"/>
  <c r="AP21" i="3"/>
  <c r="BC21" i="3" s="1"/>
  <c r="BB20" i="3"/>
  <c r="BA20" i="3"/>
  <c r="AZ20" i="3"/>
  <c r="AY20" i="3"/>
  <c r="AX20" i="3"/>
  <c r="AW20" i="3"/>
  <c r="AV20" i="3"/>
  <c r="AU20" i="3"/>
  <c r="AT20" i="3"/>
  <c r="AS20" i="3"/>
  <c r="AR20" i="3"/>
  <c r="AQ20" i="3"/>
  <c r="AP20" i="3"/>
  <c r="BC20" i="3" s="1"/>
  <c r="BB19" i="3"/>
  <c r="BA19" i="3"/>
  <c r="AZ19" i="3"/>
  <c r="AY19" i="3"/>
  <c r="AX19" i="3"/>
  <c r="AW19" i="3"/>
  <c r="AV19" i="3"/>
  <c r="AU19" i="3"/>
  <c r="AT19" i="3"/>
  <c r="AS19" i="3"/>
  <c r="AR19" i="3"/>
  <c r="AQ19" i="3"/>
  <c r="AP19" i="3"/>
  <c r="BC19" i="3" s="1"/>
  <c r="BB18" i="3"/>
  <c r="BA18" i="3"/>
  <c r="AZ18" i="3"/>
  <c r="AY18" i="3"/>
  <c r="AX18" i="3"/>
  <c r="AW18" i="3"/>
  <c r="AV18" i="3"/>
  <c r="AU18" i="3"/>
  <c r="AT18" i="3"/>
  <c r="AS18" i="3"/>
  <c r="AR18" i="3"/>
  <c r="AQ18" i="3"/>
  <c r="AP18" i="3"/>
  <c r="BC18" i="3" s="1"/>
  <c r="BB17" i="3"/>
  <c r="BA17" i="3"/>
  <c r="AZ17" i="3"/>
  <c r="AY17" i="3"/>
  <c r="AX17" i="3"/>
  <c r="AW17" i="3"/>
  <c r="AV17" i="3"/>
  <c r="AU17" i="3"/>
  <c r="AT17" i="3"/>
  <c r="AS17" i="3"/>
  <c r="AR17" i="3"/>
  <c r="AQ17" i="3"/>
  <c r="AP17" i="3"/>
  <c r="BC17" i="3" s="1"/>
  <c r="BB16" i="3"/>
  <c r="BA16" i="3"/>
  <c r="AZ16" i="3"/>
  <c r="AY16" i="3"/>
  <c r="AX16" i="3"/>
  <c r="AW16" i="3"/>
  <c r="AV16" i="3"/>
  <c r="AU16" i="3"/>
  <c r="AT16" i="3"/>
  <c r="AS16" i="3"/>
  <c r="AR16" i="3"/>
  <c r="AQ16" i="3"/>
  <c r="AP16" i="3"/>
  <c r="BC16" i="3" s="1"/>
  <c r="BB15" i="3"/>
  <c r="BA15" i="3"/>
  <c r="AZ15" i="3"/>
  <c r="AY15" i="3"/>
  <c r="AX15" i="3"/>
  <c r="AW15" i="3"/>
  <c r="AV15" i="3"/>
  <c r="AU15" i="3"/>
  <c r="AT15" i="3"/>
  <c r="AS15" i="3"/>
  <c r="AR15" i="3"/>
  <c r="AQ15" i="3"/>
  <c r="AP15" i="3"/>
  <c r="BC15" i="3" s="1"/>
  <c r="BB14" i="3"/>
  <c r="BA14" i="3"/>
  <c r="AZ14" i="3"/>
  <c r="AY14" i="3"/>
  <c r="AX14" i="3"/>
  <c r="AW14" i="3"/>
  <c r="AV14" i="3"/>
  <c r="AU14" i="3"/>
  <c r="AT14" i="3"/>
  <c r="AS14" i="3"/>
  <c r="AR14" i="3"/>
  <c r="AQ14" i="3"/>
  <c r="AP14" i="3"/>
  <c r="BC14" i="3" s="1"/>
  <c r="BB13" i="3"/>
  <c r="BA13" i="3"/>
  <c r="AZ13" i="3"/>
  <c r="AY13" i="3"/>
  <c r="AX13" i="3"/>
  <c r="AW13" i="3"/>
  <c r="AV13" i="3"/>
  <c r="AU13" i="3"/>
  <c r="AT13" i="3"/>
  <c r="AS13" i="3"/>
  <c r="AR13" i="3"/>
  <c r="AQ13" i="3"/>
  <c r="AP13" i="3"/>
  <c r="BC13" i="3" s="1"/>
  <c r="BB12" i="3"/>
  <c r="BA12" i="3"/>
  <c r="AZ12" i="3"/>
  <c r="AY12" i="3"/>
  <c r="AX12" i="3"/>
  <c r="AW12" i="3"/>
  <c r="AV12" i="3"/>
  <c r="AU12" i="3"/>
  <c r="AT12" i="3"/>
  <c r="AS12" i="3"/>
  <c r="AR12" i="3"/>
  <c r="AQ12" i="3"/>
  <c r="AP12" i="3"/>
  <c r="BC12" i="3" s="1"/>
  <c r="BB11" i="3"/>
  <c r="BA11" i="3"/>
  <c r="AZ11" i="3"/>
  <c r="AY11" i="3"/>
  <c r="AX11" i="3"/>
  <c r="AW11" i="3"/>
  <c r="AV11" i="3"/>
  <c r="AU11" i="3"/>
  <c r="AT11" i="3"/>
  <c r="AS11" i="3"/>
  <c r="AR11" i="3"/>
  <c r="AQ11" i="3"/>
  <c r="AP11" i="3"/>
  <c r="BC11" i="3" s="1"/>
  <c r="BB10" i="3"/>
  <c r="BA10" i="3"/>
  <c r="AZ10" i="3"/>
  <c r="AY10" i="3"/>
  <c r="AX10" i="3"/>
  <c r="AW10" i="3"/>
  <c r="AV10" i="3"/>
  <c r="AU10" i="3"/>
  <c r="AT10" i="3"/>
  <c r="AS10" i="3"/>
  <c r="AR10" i="3"/>
  <c r="AQ10" i="3"/>
  <c r="AP10" i="3"/>
  <c r="BC10" i="3" s="1"/>
  <c r="BB9" i="3"/>
  <c r="BA9" i="3"/>
  <c r="AZ9" i="3"/>
  <c r="AY9" i="3"/>
  <c r="AX9" i="3"/>
  <c r="AW9" i="3"/>
  <c r="AV9" i="3"/>
  <c r="AU9" i="3"/>
  <c r="AT9" i="3"/>
  <c r="AS9" i="3"/>
  <c r="AR9" i="3"/>
  <c r="AQ9" i="3"/>
  <c r="AP9" i="3"/>
  <c r="BC9" i="3" s="1"/>
  <c r="BB8" i="3"/>
  <c r="BA8" i="3"/>
  <c r="AZ8" i="3"/>
  <c r="AY8" i="3"/>
  <c r="AX8" i="3"/>
  <c r="AW8" i="3"/>
  <c r="AV8" i="3"/>
  <c r="AU8" i="3"/>
  <c r="AT8" i="3"/>
  <c r="AS8" i="3"/>
  <c r="AR8" i="3"/>
  <c r="AQ8" i="3"/>
  <c r="AP8" i="3"/>
  <c r="BC8" i="3" s="1"/>
  <c r="BB7" i="3"/>
  <c r="BA7" i="3"/>
  <c r="AZ7" i="3"/>
  <c r="AY7" i="3"/>
  <c r="AX7" i="3"/>
  <c r="AW7" i="3"/>
  <c r="AV7" i="3"/>
  <c r="AU7" i="3"/>
  <c r="AT7" i="3"/>
  <c r="AS7" i="3"/>
  <c r="AR7" i="3"/>
  <c r="AQ7" i="3"/>
  <c r="AP7" i="3"/>
  <c r="BC7" i="3" s="1"/>
  <c r="BB6" i="3"/>
  <c r="BA6" i="3"/>
  <c r="AZ6" i="3"/>
  <c r="AY6" i="3"/>
  <c r="AX6" i="3"/>
  <c r="AW6" i="3"/>
  <c r="AV6" i="3"/>
  <c r="AU6" i="3"/>
  <c r="AT6" i="3"/>
  <c r="AS6" i="3"/>
  <c r="AR6" i="3"/>
  <c r="AQ6" i="3"/>
  <c r="AP6" i="3"/>
  <c r="BC6" i="3" s="1"/>
  <c r="BB5" i="3"/>
  <c r="BB26" i="3" s="1"/>
  <c r="BB52" i="3" s="1"/>
  <c r="BA5" i="3"/>
  <c r="BA26" i="3" s="1"/>
  <c r="BA52" i="3" s="1"/>
  <c r="AZ5" i="3"/>
  <c r="AZ26" i="3" s="1"/>
  <c r="AZ52" i="3" s="1"/>
  <c r="AY5" i="3"/>
  <c r="AY26" i="3" s="1"/>
  <c r="AY52" i="3" s="1"/>
  <c r="AX5" i="3"/>
  <c r="AX26" i="3" s="1"/>
  <c r="AX52" i="3" s="1"/>
  <c r="AW5" i="3"/>
  <c r="AW26" i="3" s="1"/>
  <c r="AW52" i="3" s="1"/>
  <c r="AV5" i="3"/>
  <c r="AV26" i="3" s="1"/>
  <c r="AV52" i="3" s="1"/>
  <c r="AU5" i="3"/>
  <c r="AU26" i="3" s="1"/>
  <c r="AU52" i="3" s="1"/>
  <c r="AT5" i="3"/>
  <c r="AT26" i="3" s="1"/>
  <c r="AT52" i="3" s="1"/>
  <c r="AS5" i="3"/>
  <c r="AS26" i="3" s="1"/>
  <c r="AS52" i="3" s="1"/>
  <c r="AR5" i="3"/>
  <c r="AR26" i="3" s="1"/>
  <c r="AR52" i="3" s="1"/>
  <c r="AQ5" i="3"/>
  <c r="AQ26" i="3" s="1"/>
  <c r="AQ52" i="3" s="1"/>
  <c r="AP5" i="3"/>
  <c r="AK58" i="2"/>
  <c r="AI58" i="2"/>
  <c r="AG58" i="2"/>
  <c r="AE58" i="2"/>
  <c r="AC58" i="2"/>
  <c r="Z58" i="2"/>
  <c r="W58" i="2"/>
  <c r="T58" i="2"/>
  <c r="Q58" i="2"/>
  <c r="N58" i="2"/>
  <c r="K58" i="2"/>
  <c r="H58" i="2"/>
  <c r="E58" i="2"/>
  <c r="AM58" i="2" s="1"/>
  <c r="AK57" i="2"/>
  <c r="AK59" i="2" s="1"/>
  <c r="AK60" i="2" s="1"/>
  <c r="AI57" i="2"/>
  <c r="AI59" i="2" s="1"/>
  <c r="AI60" i="2" s="1"/>
  <c r="AG57" i="2"/>
  <c r="AG59" i="2" s="1"/>
  <c r="AG60" i="2" s="1"/>
  <c r="AE57" i="2"/>
  <c r="AE59" i="2" s="1"/>
  <c r="AE60" i="2" s="1"/>
  <c r="AC57" i="2"/>
  <c r="AC59" i="2" s="1"/>
  <c r="AC60" i="2" s="1"/>
  <c r="Z57" i="2"/>
  <c r="Z59" i="2" s="1"/>
  <c r="Z60" i="2" s="1"/>
  <c r="W57" i="2"/>
  <c r="W59" i="2" s="1"/>
  <c r="W60" i="2" s="1"/>
  <c r="T57" i="2"/>
  <c r="T59" i="2" s="1"/>
  <c r="T60" i="2" s="1"/>
  <c r="Q57" i="2"/>
  <c r="Q59" i="2" s="1"/>
  <c r="Q60" i="2" s="1"/>
  <c r="N57" i="2"/>
  <c r="N59" i="2" s="1"/>
  <c r="N60" i="2" s="1"/>
  <c r="K57" i="2"/>
  <c r="K59" i="2" s="1"/>
  <c r="K60" i="2" s="1"/>
  <c r="H57" i="2"/>
  <c r="H59" i="2" s="1"/>
  <c r="H60" i="2" s="1"/>
  <c r="E57" i="2"/>
  <c r="AM56" i="2"/>
  <c r="AG51" i="2"/>
  <c r="AG52" i="2" s="1"/>
  <c r="Z51" i="2"/>
  <c r="Z52" i="2" s="1"/>
  <c r="S51" i="2"/>
  <c r="S52" i="2" s="1"/>
  <c r="L51" i="2"/>
  <c r="L52" i="2" s="1"/>
  <c r="E51" i="2"/>
  <c r="BB50" i="2"/>
  <c r="BA50" i="2"/>
  <c r="AZ50" i="2"/>
  <c r="AY50" i="2"/>
  <c r="AX50" i="2"/>
  <c r="AW50" i="2"/>
  <c r="AV50" i="2"/>
  <c r="AU50" i="2"/>
  <c r="AS50" i="2"/>
  <c r="AR50" i="2"/>
  <c r="AQ50" i="2"/>
  <c r="AP50" i="2"/>
  <c r="AN50" i="2"/>
  <c r="D50" i="2"/>
  <c r="AT50" i="2" s="1"/>
  <c r="BB49" i="2"/>
  <c r="BA49" i="2"/>
  <c r="AZ49" i="2"/>
  <c r="AY49" i="2"/>
  <c r="AX49" i="2"/>
  <c r="AW49" i="2"/>
  <c r="AV49" i="2"/>
  <c r="AU49" i="2"/>
  <c r="AT49" i="2"/>
  <c r="AS49" i="2"/>
  <c r="AR49" i="2"/>
  <c r="AQ49" i="2"/>
  <c r="AP49" i="2"/>
  <c r="BC49" i="2" s="1"/>
  <c r="BB48" i="2"/>
  <c r="BA48" i="2"/>
  <c r="AZ48" i="2"/>
  <c r="AY48" i="2"/>
  <c r="AX48" i="2"/>
  <c r="AW48" i="2"/>
  <c r="AV48" i="2"/>
  <c r="AU48" i="2"/>
  <c r="AT48" i="2"/>
  <c r="AS48" i="2"/>
  <c r="AR48" i="2"/>
  <c r="AQ48" i="2"/>
  <c r="AP48" i="2"/>
  <c r="BC48" i="2" s="1"/>
  <c r="BB47" i="2"/>
  <c r="BA47" i="2"/>
  <c r="AZ47" i="2"/>
  <c r="AY47" i="2"/>
  <c r="AX47" i="2"/>
  <c r="AW47" i="2"/>
  <c r="AV47" i="2"/>
  <c r="AU47" i="2"/>
  <c r="AT47" i="2"/>
  <c r="AS47" i="2"/>
  <c r="AR47" i="2"/>
  <c r="AQ47" i="2"/>
  <c r="AP47" i="2"/>
  <c r="BC47" i="2" s="1"/>
  <c r="BB46" i="2"/>
  <c r="BA46" i="2"/>
  <c r="AZ46" i="2"/>
  <c r="AY46" i="2"/>
  <c r="AX46" i="2"/>
  <c r="AW46" i="2"/>
  <c r="AV46" i="2"/>
  <c r="AU46" i="2"/>
  <c r="AT46" i="2"/>
  <c r="AS46" i="2"/>
  <c r="AR46" i="2"/>
  <c r="AQ46" i="2"/>
  <c r="AP46" i="2"/>
  <c r="BC46" i="2" s="1"/>
  <c r="BB45" i="2"/>
  <c r="BA45" i="2"/>
  <c r="AZ45" i="2"/>
  <c r="AY45" i="2"/>
  <c r="AX45" i="2"/>
  <c r="AW45" i="2"/>
  <c r="AV45" i="2"/>
  <c r="AU45" i="2"/>
  <c r="AT45" i="2"/>
  <c r="AS45" i="2"/>
  <c r="AR45" i="2"/>
  <c r="AQ45" i="2"/>
  <c r="AP45" i="2"/>
  <c r="BC45" i="2" s="1"/>
  <c r="BB44" i="2"/>
  <c r="BA44" i="2"/>
  <c r="AZ44" i="2"/>
  <c r="AY44" i="2"/>
  <c r="AX44" i="2"/>
  <c r="AW44" i="2"/>
  <c r="AV44" i="2"/>
  <c r="AU44" i="2"/>
  <c r="AT44" i="2"/>
  <c r="AS44" i="2"/>
  <c r="AR44" i="2"/>
  <c r="AQ44" i="2"/>
  <c r="AP44" i="2"/>
  <c r="BC44" i="2" s="1"/>
  <c r="BB43" i="2"/>
  <c r="BA43" i="2"/>
  <c r="AZ43" i="2"/>
  <c r="AY43" i="2"/>
  <c r="AX43" i="2"/>
  <c r="AW43" i="2"/>
  <c r="AV43" i="2"/>
  <c r="AU43" i="2"/>
  <c r="AT43" i="2"/>
  <c r="AS43" i="2"/>
  <c r="AR43" i="2"/>
  <c r="AQ43" i="2"/>
  <c r="AP43" i="2"/>
  <c r="BC43" i="2" s="1"/>
  <c r="BB42" i="2"/>
  <c r="BA42" i="2"/>
  <c r="AZ42" i="2"/>
  <c r="AY42" i="2"/>
  <c r="AX42" i="2"/>
  <c r="AW42" i="2"/>
  <c r="AV42" i="2"/>
  <c r="AU42" i="2"/>
  <c r="AT42" i="2"/>
  <c r="AS42" i="2"/>
  <c r="AR42" i="2"/>
  <c r="AQ42" i="2"/>
  <c r="AP42" i="2"/>
  <c r="BC42" i="2" s="1"/>
  <c r="BB41" i="2"/>
  <c r="BA41" i="2"/>
  <c r="AZ41" i="2"/>
  <c r="AY41" i="2"/>
  <c r="AX41" i="2"/>
  <c r="AW41" i="2"/>
  <c r="AV41" i="2"/>
  <c r="AU41" i="2"/>
  <c r="AT41" i="2"/>
  <c r="AS41" i="2"/>
  <c r="AR41" i="2"/>
  <c r="AQ41" i="2"/>
  <c r="AP41" i="2"/>
  <c r="BC41" i="2" s="1"/>
  <c r="BB40" i="2"/>
  <c r="BA40" i="2"/>
  <c r="AZ40" i="2"/>
  <c r="AY40" i="2"/>
  <c r="AX40" i="2"/>
  <c r="AW40" i="2"/>
  <c r="AV40" i="2"/>
  <c r="AU40" i="2"/>
  <c r="AT40" i="2"/>
  <c r="AS40" i="2"/>
  <c r="AR40" i="2"/>
  <c r="AQ40" i="2"/>
  <c r="AP40" i="2"/>
  <c r="BC40" i="2" s="1"/>
  <c r="BB39" i="2"/>
  <c r="BA39" i="2"/>
  <c r="AZ39" i="2"/>
  <c r="AY39" i="2"/>
  <c r="AX39" i="2"/>
  <c r="AW39" i="2"/>
  <c r="AV39" i="2"/>
  <c r="AU39" i="2"/>
  <c r="AT39" i="2"/>
  <c r="AS39" i="2"/>
  <c r="AR39" i="2"/>
  <c r="AQ39" i="2"/>
  <c r="AP39" i="2"/>
  <c r="BC39" i="2" s="1"/>
  <c r="BB38" i="2"/>
  <c r="BA38" i="2"/>
  <c r="AZ38" i="2"/>
  <c r="AY38" i="2"/>
  <c r="AX38" i="2"/>
  <c r="AW38" i="2"/>
  <c r="AV38" i="2"/>
  <c r="AU38" i="2"/>
  <c r="AT38" i="2"/>
  <c r="AS38" i="2"/>
  <c r="AR38" i="2"/>
  <c r="AQ38" i="2"/>
  <c r="AP38" i="2"/>
  <c r="BC38" i="2" s="1"/>
  <c r="BB37" i="2"/>
  <c r="BA37" i="2"/>
  <c r="AZ37" i="2"/>
  <c r="AY37" i="2"/>
  <c r="AX37" i="2"/>
  <c r="AW37" i="2"/>
  <c r="AV37" i="2"/>
  <c r="AU37" i="2"/>
  <c r="AT37" i="2"/>
  <c r="AS37" i="2"/>
  <c r="AR37" i="2"/>
  <c r="AQ37" i="2"/>
  <c r="AP37" i="2"/>
  <c r="BC37" i="2" s="1"/>
  <c r="BB36" i="2"/>
  <c r="BA36" i="2"/>
  <c r="AZ36" i="2"/>
  <c r="AY36" i="2"/>
  <c r="AX36" i="2"/>
  <c r="AW36" i="2"/>
  <c r="AV36" i="2"/>
  <c r="AU36" i="2"/>
  <c r="AT36" i="2"/>
  <c r="AS36" i="2"/>
  <c r="AR36" i="2"/>
  <c r="AQ36" i="2"/>
  <c r="AP36" i="2"/>
  <c r="BC36" i="2" s="1"/>
  <c r="BB35" i="2"/>
  <c r="BA35" i="2"/>
  <c r="AZ35" i="2"/>
  <c r="AY35" i="2"/>
  <c r="AX35" i="2"/>
  <c r="AW35" i="2"/>
  <c r="AV35" i="2"/>
  <c r="AU35" i="2"/>
  <c r="AT35" i="2"/>
  <c r="AS35" i="2"/>
  <c r="AR35" i="2"/>
  <c r="AQ35" i="2"/>
  <c r="AP35" i="2"/>
  <c r="BC35" i="2" s="1"/>
  <c r="BB34" i="2"/>
  <c r="BA34" i="2"/>
  <c r="AZ34" i="2"/>
  <c r="AY34" i="2"/>
  <c r="AX34" i="2"/>
  <c r="AW34" i="2"/>
  <c r="AV34" i="2"/>
  <c r="AU34" i="2"/>
  <c r="AT34" i="2"/>
  <c r="AS34" i="2"/>
  <c r="AR34" i="2"/>
  <c r="AQ34" i="2"/>
  <c r="AP34" i="2"/>
  <c r="BC34" i="2" s="1"/>
  <c r="BB33" i="2"/>
  <c r="BA33" i="2"/>
  <c r="AZ33" i="2"/>
  <c r="AY33" i="2"/>
  <c r="AX33" i="2"/>
  <c r="AW33" i="2"/>
  <c r="AV33" i="2"/>
  <c r="AU33" i="2"/>
  <c r="AT33" i="2"/>
  <c r="AS33" i="2"/>
  <c r="AR33" i="2"/>
  <c r="AQ33" i="2"/>
  <c r="AP33" i="2"/>
  <c r="BC33" i="2" s="1"/>
  <c r="BB32" i="2"/>
  <c r="BA32" i="2"/>
  <c r="AZ32" i="2"/>
  <c r="AY32" i="2"/>
  <c r="AX32" i="2"/>
  <c r="AW32" i="2"/>
  <c r="AV32" i="2"/>
  <c r="AU32" i="2"/>
  <c r="AT32" i="2"/>
  <c r="AS32" i="2"/>
  <c r="AR32" i="2"/>
  <c r="AQ32" i="2"/>
  <c r="AP32" i="2"/>
  <c r="BC32" i="2" s="1"/>
  <c r="BB31" i="2"/>
  <c r="BA31" i="2"/>
  <c r="AZ31" i="2"/>
  <c r="AY31" i="2"/>
  <c r="AX31" i="2"/>
  <c r="AW31" i="2"/>
  <c r="AV31" i="2"/>
  <c r="AU31" i="2"/>
  <c r="AT31" i="2"/>
  <c r="AS31" i="2"/>
  <c r="AR31" i="2"/>
  <c r="AQ31" i="2"/>
  <c r="AP31" i="2"/>
  <c r="BC31" i="2" s="1"/>
  <c r="BB30" i="2"/>
  <c r="BB51" i="2" s="1"/>
  <c r="BA30" i="2"/>
  <c r="BA51" i="2" s="1"/>
  <c r="AZ30" i="2"/>
  <c r="AZ51" i="2" s="1"/>
  <c r="AY30" i="2"/>
  <c r="AY51" i="2" s="1"/>
  <c r="AX30" i="2"/>
  <c r="AX51" i="2" s="1"/>
  <c r="AW30" i="2"/>
  <c r="AW51" i="2" s="1"/>
  <c r="AV30" i="2"/>
  <c r="AV51" i="2" s="1"/>
  <c r="AU30" i="2"/>
  <c r="AU51" i="2" s="1"/>
  <c r="AT30" i="2"/>
  <c r="AT51" i="2" s="1"/>
  <c r="AS30" i="2"/>
  <c r="AS51" i="2" s="1"/>
  <c r="AR30" i="2"/>
  <c r="AR51" i="2" s="1"/>
  <c r="AQ30" i="2"/>
  <c r="AQ51" i="2" s="1"/>
  <c r="AP30" i="2"/>
  <c r="AN26" i="2"/>
  <c r="D26" i="2"/>
  <c r="D51" i="2" s="1"/>
  <c r="BB25" i="2"/>
  <c r="BA25" i="2"/>
  <c r="AZ25" i="2"/>
  <c r="AY25" i="2"/>
  <c r="AX25" i="2"/>
  <c r="AW25" i="2"/>
  <c r="AV25" i="2"/>
  <c r="AU25" i="2"/>
  <c r="AT25" i="2"/>
  <c r="AS25" i="2"/>
  <c r="AR25" i="2"/>
  <c r="AQ25" i="2"/>
  <c r="AP25" i="2"/>
  <c r="BC25" i="2" s="1"/>
  <c r="BB24" i="2"/>
  <c r="BA24" i="2"/>
  <c r="AZ24" i="2"/>
  <c r="AY24" i="2"/>
  <c r="AX24" i="2"/>
  <c r="AW24" i="2"/>
  <c r="AV24" i="2"/>
  <c r="AU24" i="2"/>
  <c r="AT24" i="2"/>
  <c r="AS24" i="2"/>
  <c r="AR24" i="2"/>
  <c r="AQ24" i="2"/>
  <c r="AP24" i="2"/>
  <c r="BC24" i="2" s="1"/>
  <c r="BB23" i="2"/>
  <c r="BA23" i="2"/>
  <c r="AZ23" i="2"/>
  <c r="AY23" i="2"/>
  <c r="AX23" i="2"/>
  <c r="AW23" i="2"/>
  <c r="AV23" i="2"/>
  <c r="AU23" i="2"/>
  <c r="AT23" i="2"/>
  <c r="AS23" i="2"/>
  <c r="AR23" i="2"/>
  <c r="AQ23" i="2"/>
  <c r="AP23" i="2"/>
  <c r="BC23" i="2" s="1"/>
  <c r="BB22" i="2"/>
  <c r="BA22" i="2"/>
  <c r="AZ22" i="2"/>
  <c r="AY22" i="2"/>
  <c r="AX22" i="2"/>
  <c r="AW22" i="2"/>
  <c r="AV22" i="2"/>
  <c r="AU22" i="2"/>
  <c r="AT22" i="2"/>
  <c r="AS22" i="2"/>
  <c r="AR22" i="2"/>
  <c r="AQ22" i="2"/>
  <c r="AP22" i="2"/>
  <c r="BC22" i="2" s="1"/>
  <c r="BB21" i="2"/>
  <c r="BA21" i="2"/>
  <c r="AZ21" i="2"/>
  <c r="AY21" i="2"/>
  <c r="AX21" i="2"/>
  <c r="AW21" i="2"/>
  <c r="AV21" i="2"/>
  <c r="AU21" i="2"/>
  <c r="AT21" i="2"/>
  <c r="AS21" i="2"/>
  <c r="AR21" i="2"/>
  <c r="AQ21" i="2"/>
  <c r="AP21" i="2"/>
  <c r="BC21" i="2" s="1"/>
  <c r="BB20" i="2"/>
  <c r="BA20" i="2"/>
  <c r="AZ20" i="2"/>
  <c r="AY20" i="2"/>
  <c r="AX20" i="2"/>
  <c r="AW20" i="2"/>
  <c r="AV20" i="2"/>
  <c r="AU20" i="2"/>
  <c r="AT20" i="2"/>
  <c r="AS20" i="2"/>
  <c r="AR20" i="2"/>
  <c r="AQ20" i="2"/>
  <c r="AP20" i="2"/>
  <c r="BC20" i="2" s="1"/>
  <c r="BB19" i="2"/>
  <c r="BA19" i="2"/>
  <c r="AZ19" i="2"/>
  <c r="AY19" i="2"/>
  <c r="AX19" i="2"/>
  <c r="AW19" i="2"/>
  <c r="AV19" i="2"/>
  <c r="AU19" i="2"/>
  <c r="AT19" i="2"/>
  <c r="AS19" i="2"/>
  <c r="AR19" i="2"/>
  <c r="AQ19" i="2"/>
  <c r="AP19" i="2"/>
  <c r="BC19" i="2" s="1"/>
  <c r="BB18" i="2"/>
  <c r="BA18" i="2"/>
  <c r="AZ18" i="2"/>
  <c r="AY18" i="2"/>
  <c r="AX18" i="2"/>
  <c r="AW18" i="2"/>
  <c r="AV18" i="2"/>
  <c r="AU18" i="2"/>
  <c r="AT18" i="2"/>
  <c r="AS18" i="2"/>
  <c r="AR18" i="2"/>
  <c r="AQ18" i="2"/>
  <c r="AP18" i="2"/>
  <c r="BC18" i="2" s="1"/>
  <c r="BB17" i="2"/>
  <c r="BA17" i="2"/>
  <c r="AZ17" i="2"/>
  <c r="AY17" i="2"/>
  <c r="AX17" i="2"/>
  <c r="AW17" i="2"/>
  <c r="AV17" i="2"/>
  <c r="AU17" i="2"/>
  <c r="AT17" i="2"/>
  <c r="AS17" i="2"/>
  <c r="AR17" i="2"/>
  <c r="AQ17" i="2"/>
  <c r="AP17" i="2"/>
  <c r="BC17" i="2" s="1"/>
  <c r="BB16" i="2"/>
  <c r="BA16" i="2"/>
  <c r="AZ16" i="2"/>
  <c r="AY16" i="2"/>
  <c r="AX16" i="2"/>
  <c r="AW16" i="2"/>
  <c r="AV16" i="2"/>
  <c r="AU16" i="2"/>
  <c r="AT16" i="2"/>
  <c r="AS16" i="2"/>
  <c r="AR16" i="2"/>
  <c r="AQ16" i="2"/>
  <c r="AP16" i="2"/>
  <c r="BC16" i="2" s="1"/>
  <c r="BB15" i="2"/>
  <c r="BA15" i="2"/>
  <c r="AZ15" i="2"/>
  <c r="AY15" i="2"/>
  <c r="AX15" i="2"/>
  <c r="AW15" i="2"/>
  <c r="AV15" i="2"/>
  <c r="AU15" i="2"/>
  <c r="AT15" i="2"/>
  <c r="AS15" i="2"/>
  <c r="AR15" i="2"/>
  <c r="AQ15" i="2"/>
  <c r="AP15" i="2"/>
  <c r="BC15" i="2" s="1"/>
  <c r="BB14" i="2"/>
  <c r="BA14" i="2"/>
  <c r="AZ14" i="2"/>
  <c r="AY14" i="2"/>
  <c r="AX14" i="2"/>
  <c r="AW14" i="2"/>
  <c r="AV14" i="2"/>
  <c r="AU14" i="2"/>
  <c r="AT14" i="2"/>
  <c r="AS14" i="2"/>
  <c r="AR14" i="2"/>
  <c r="AQ14" i="2"/>
  <c r="AP14" i="2"/>
  <c r="BC14" i="2" s="1"/>
  <c r="BB13" i="2"/>
  <c r="BA13" i="2"/>
  <c r="AZ13" i="2"/>
  <c r="AY13" i="2"/>
  <c r="AX13" i="2"/>
  <c r="AW13" i="2"/>
  <c r="AV13" i="2"/>
  <c r="AU13" i="2"/>
  <c r="AT13" i="2"/>
  <c r="AS13" i="2"/>
  <c r="AR13" i="2"/>
  <c r="AQ13" i="2"/>
  <c r="AP13" i="2"/>
  <c r="BC13" i="2" s="1"/>
  <c r="BB12" i="2"/>
  <c r="BA12" i="2"/>
  <c r="AZ12" i="2"/>
  <c r="AY12" i="2"/>
  <c r="AX12" i="2"/>
  <c r="AW12" i="2"/>
  <c r="AV12" i="2"/>
  <c r="AU12" i="2"/>
  <c r="AT12" i="2"/>
  <c r="AS12" i="2"/>
  <c r="AR12" i="2"/>
  <c r="AQ12" i="2"/>
  <c r="AP12" i="2"/>
  <c r="BC12" i="2" s="1"/>
  <c r="BB11" i="2"/>
  <c r="BA11" i="2"/>
  <c r="AZ11" i="2"/>
  <c r="AY11" i="2"/>
  <c r="AX11" i="2"/>
  <c r="AW11" i="2"/>
  <c r="AV11" i="2"/>
  <c r="AU11" i="2"/>
  <c r="AT11" i="2"/>
  <c r="AS11" i="2"/>
  <c r="AR11" i="2"/>
  <c r="AQ11" i="2"/>
  <c r="AP11" i="2"/>
  <c r="BC11" i="2" s="1"/>
  <c r="BB10" i="2"/>
  <c r="BA10" i="2"/>
  <c r="AZ10" i="2"/>
  <c r="AY10" i="2"/>
  <c r="AX10" i="2"/>
  <c r="AW10" i="2"/>
  <c r="AV10" i="2"/>
  <c r="AU10" i="2"/>
  <c r="AT10" i="2"/>
  <c r="AS10" i="2"/>
  <c r="AR10" i="2"/>
  <c r="AQ10" i="2"/>
  <c r="AP10" i="2"/>
  <c r="BC10" i="2" s="1"/>
  <c r="BB9" i="2"/>
  <c r="BA9" i="2"/>
  <c r="AZ9" i="2"/>
  <c r="AY9" i="2"/>
  <c r="AX9" i="2"/>
  <c r="AW9" i="2"/>
  <c r="AV9" i="2"/>
  <c r="AU9" i="2"/>
  <c r="AT9" i="2"/>
  <c r="AS9" i="2"/>
  <c r="AR9" i="2"/>
  <c r="AQ9" i="2"/>
  <c r="AP9" i="2"/>
  <c r="BC9" i="2" s="1"/>
  <c r="BB8" i="2"/>
  <c r="BA8" i="2"/>
  <c r="AZ8" i="2"/>
  <c r="AY8" i="2"/>
  <c r="AX8" i="2"/>
  <c r="AW8" i="2"/>
  <c r="AV8" i="2"/>
  <c r="AU8" i="2"/>
  <c r="AT8" i="2"/>
  <c r="AS8" i="2"/>
  <c r="AR8" i="2"/>
  <c r="AQ8" i="2"/>
  <c r="AP8" i="2"/>
  <c r="BC8" i="2" s="1"/>
  <c r="BB7" i="2"/>
  <c r="BA7" i="2"/>
  <c r="AZ7" i="2"/>
  <c r="AY7" i="2"/>
  <c r="AX7" i="2"/>
  <c r="AW7" i="2"/>
  <c r="AV7" i="2"/>
  <c r="AU7" i="2"/>
  <c r="AT7" i="2"/>
  <c r="AS7" i="2"/>
  <c r="AR7" i="2"/>
  <c r="AQ7" i="2"/>
  <c r="AP7" i="2"/>
  <c r="BC7" i="2" s="1"/>
  <c r="BB6" i="2"/>
  <c r="BA6" i="2"/>
  <c r="AZ6" i="2"/>
  <c r="AY6" i="2"/>
  <c r="AX6" i="2"/>
  <c r="AW6" i="2"/>
  <c r="AV6" i="2"/>
  <c r="AU6" i="2"/>
  <c r="AT6" i="2"/>
  <c r="AS6" i="2"/>
  <c r="AR6" i="2"/>
  <c r="AQ6" i="2"/>
  <c r="AP6" i="2"/>
  <c r="BC6" i="2" s="1"/>
  <c r="BB5" i="2"/>
  <c r="BB26" i="2" s="1"/>
  <c r="BB52" i="2" s="1"/>
  <c r="BA5" i="2"/>
  <c r="BA26" i="2" s="1"/>
  <c r="BA52" i="2" s="1"/>
  <c r="AZ5" i="2"/>
  <c r="AZ26" i="2" s="1"/>
  <c r="AZ52" i="2" s="1"/>
  <c r="AY5" i="2"/>
  <c r="AY26" i="2" s="1"/>
  <c r="AY52" i="2" s="1"/>
  <c r="AX5" i="2"/>
  <c r="AX26" i="2" s="1"/>
  <c r="AX52" i="2" s="1"/>
  <c r="AW5" i="2"/>
  <c r="AW26" i="2" s="1"/>
  <c r="AW52" i="2" s="1"/>
  <c r="AV5" i="2"/>
  <c r="AV26" i="2" s="1"/>
  <c r="AV52" i="2" s="1"/>
  <c r="AU5" i="2"/>
  <c r="AU26" i="2" s="1"/>
  <c r="AU52" i="2" s="1"/>
  <c r="AT5" i="2"/>
  <c r="AT26" i="2" s="1"/>
  <c r="AT52" i="2" s="1"/>
  <c r="AS5" i="2"/>
  <c r="AS26" i="2" s="1"/>
  <c r="AS52" i="2" s="1"/>
  <c r="AR5" i="2"/>
  <c r="AR26" i="2" s="1"/>
  <c r="AR52" i="2" s="1"/>
  <c r="AQ5" i="2"/>
  <c r="AQ26" i="2" s="1"/>
  <c r="AQ52" i="2" s="1"/>
  <c r="AP5" i="2"/>
  <c r="AK58" i="1"/>
  <c r="AI58" i="1"/>
  <c r="AG58" i="1"/>
  <c r="AE58" i="1"/>
  <c r="AC58" i="1"/>
  <c r="Z58" i="1"/>
  <c r="W58" i="1"/>
  <c r="T58" i="1"/>
  <c r="Q58" i="1"/>
  <c r="N58" i="1"/>
  <c r="K58" i="1"/>
  <c r="H58" i="1"/>
  <c r="E58" i="1"/>
  <c r="AM58" i="1" s="1"/>
  <c r="AK57" i="1"/>
  <c r="AK59" i="1" s="1"/>
  <c r="AK60" i="1" s="1"/>
  <c r="AI57" i="1"/>
  <c r="AI59" i="1" s="1"/>
  <c r="AI60" i="1" s="1"/>
  <c r="AG57" i="1"/>
  <c r="AG59" i="1" s="1"/>
  <c r="AG60" i="1" s="1"/>
  <c r="AE57" i="1"/>
  <c r="AE59" i="1" s="1"/>
  <c r="AE60" i="1" s="1"/>
  <c r="AC57" i="1"/>
  <c r="AC59" i="1" s="1"/>
  <c r="AC60" i="1" s="1"/>
  <c r="Z57" i="1"/>
  <c r="Z59" i="1" s="1"/>
  <c r="Z60" i="1" s="1"/>
  <c r="W57" i="1"/>
  <c r="W59" i="1" s="1"/>
  <c r="W60" i="1" s="1"/>
  <c r="T57" i="1"/>
  <c r="T59" i="1" s="1"/>
  <c r="T60" i="1" s="1"/>
  <c r="Q57" i="1"/>
  <c r="Q59" i="1" s="1"/>
  <c r="Q60" i="1" s="1"/>
  <c r="N57" i="1"/>
  <c r="N59" i="1" s="1"/>
  <c r="N60" i="1" s="1"/>
  <c r="K57" i="1"/>
  <c r="K59" i="1" s="1"/>
  <c r="K60" i="1" s="1"/>
  <c r="H57" i="1"/>
  <c r="H59" i="1" s="1"/>
  <c r="H60" i="1" s="1"/>
  <c r="E57" i="1"/>
  <c r="AM56" i="1"/>
  <c r="AG51" i="1"/>
  <c r="AG52" i="1" s="1"/>
  <c r="Z51" i="1"/>
  <c r="Z52" i="1" s="1"/>
  <c r="S51" i="1"/>
  <c r="S52" i="1" s="1"/>
  <c r="L51" i="1"/>
  <c r="L52" i="1" s="1"/>
  <c r="E51" i="1"/>
  <c r="BB50" i="1"/>
  <c r="BA50" i="1"/>
  <c r="AZ50" i="1"/>
  <c r="AY50" i="1"/>
  <c r="AX50" i="1"/>
  <c r="AW50" i="1"/>
  <c r="AV50" i="1"/>
  <c r="AU50" i="1"/>
  <c r="AS50" i="1"/>
  <c r="AR50" i="1"/>
  <c r="AQ50" i="1"/>
  <c r="AP50" i="1"/>
  <c r="AN50" i="1"/>
  <c r="D50" i="1"/>
  <c r="AT50" i="1" s="1"/>
  <c r="BB49" i="1"/>
  <c r="BA49" i="1"/>
  <c r="AZ49" i="1"/>
  <c r="AY49" i="1"/>
  <c r="AX49" i="1"/>
  <c r="AW49" i="1"/>
  <c r="AV49" i="1"/>
  <c r="AU49" i="1"/>
  <c r="AT49" i="1"/>
  <c r="AS49" i="1"/>
  <c r="AR49" i="1"/>
  <c r="AQ49" i="1"/>
  <c r="AP49" i="1"/>
  <c r="BC49" i="1" s="1"/>
  <c r="BB48" i="1"/>
  <c r="BA48" i="1"/>
  <c r="AZ48" i="1"/>
  <c r="AY48" i="1"/>
  <c r="AX48" i="1"/>
  <c r="AW48" i="1"/>
  <c r="AV48" i="1"/>
  <c r="AU48" i="1"/>
  <c r="AT48" i="1"/>
  <c r="AS48" i="1"/>
  <c r="AR48" i="1"/>
  <c r="AQ48" i="1"/>
  <c r="AP48" i="1"/>
  <c r="BC48" i="1" s="1"/>
  <c r="BB47" i="1"/>
  <c r="BA47" i="1"/>
  <c r="AZ47" i="1"/>
  <c r="AY47" i="1"/>
  <c r="AX47" i="1"/>
  <c r="AW47" i="1"/>
  <c r="AV47" i="1"/>
  <c r="AU47" i="1"/>
  <c r="AT47" i="1"/>
  <c r="AS47" i="1"/>
  <c r="AR47" i="1"/>
  <c r="AQ47" i="1"/>
  <c r="AP47" i="1"/>
  <c r="BC47" i="1" s="1"/>
  <c r="BB46" i="1"/>
  <c r="BA46" i="1"/>
  <c r="AZ46" i="1"/>
  <c r="AY46" i="1"/>
  <c r="AX46" i="1"/>
  <c r="AW46" i="1"/>
  <c r="AV46" i="1"/>
  <c r="AU46" i="1"/>
  <c r="AT46" i="1"/>
  <c r="AS46" i="1"/>
  <c r="AR46" i="1"/>
  <c r="AQ46" i="1"/>
  <c r="AP46" i="1"/>
  <c r="BC46" i="1" s="1"/>
  <c r="BB45" i="1"/>
  <c r="BA45" i="1"/>
  <c r="AZ45" i="1"/>
  <c r="AY45" i="1"/>
  <c r="AX45" i="1"/>
  <c r="AW45" i="1"/>
  <c r="AV45" i="1"/>
  <c r="AU45" i="1"/>
  <c r="AT45" i="1"/>
  <c r="AS45" i="1"/>
  <c r="AR45" i="1"/>
  <c r="AQ45" i="1"/>
  <c r="AP45" i="1"/>
  <c r="BC45" i="1" s="1"/>
  <c r="BB44" i="1"/>
  <c r="BA44" i="1"/>
  <c r="AZ44" i="1"/>
  <c r="AY44" i="1"/>
  <c r="AX44" i="1"/>
  <c r="AW44" i="1"/>
  <c r="AV44" i="1"/>
  <c r="AU44" i="1"/>
  <c r="AT44" i="1"/>
  <c r="AS44" i="1"/>
  <c r="AR44" i="1"/>
  <c r="AQ44" i="1"/>
  <c r="AP44" i="1"/>
  <c r="BC44" i="1" s="1"/>
  <c r="BB43" i="1"/>
  <c r="BA43" i="1"/>
  <c r="AZ43" i="1"/>
  <c r="AY43" i="1"/>
  <c r="AX43" i="1"/>
  <c r="AW43" i="1"/>
  <c r="AV43" i="1"/>
  <c r="AU43" i="1"/>
  <c r="AT43" i="1"/>
  <c r="AS43" i="1"/>
  <c r="AR43" i="1"/>
  <c r="AQ43" i="1"/>
  <c r="AP43" i="1"/>
  <c r="BC43" i="1" s="1"/>
  <c r="BB42" i="1"/>
  <c r="BA42" i="1"/>
  <c r="AZ42" i="1"/>
  <c r="AY42" i="1"/>
  <c r="AX42" i="1"/>
  <c r="AW42" i="1"/>
  <c r="AV42" i="1"/>
  <c r="AU42" i="1"/>
  <c r="AT42" i="1"/>
  <c r="AS42" i="1"/>
  <c r="AR42" i="1"/>
  <c r="AQ42" i="1"/>
  <c r="AP42" i="1"/>
  <c r="BC42" i="1" s="1"/>
  <c r="BB41" i="1"/>
  <c r="BA41" i="1"/>
  <c r="AZ41" i="1"/>
  <c r="AY41" i="1"/>
  <c r="AX41" i="1"/>
  <c r="AW41" i="1"/>
  <c r="AV41" i="1"/>
  <c r="AU41" i="1"/>
  <c r="AT41" i="1"/>
  <c r="AS41" i="1"/>
  <c r="AR41" i="1"/>
  <c r="AQ41" i="1"/>
  <c r="AP41" i="1"/>
  <c r="BC41" i="1" s="1"/>
  <c r="BB40" i="1"/>
  <c r="BA40" i="1"/>
  <c r="AZ40" i="1"/>
  <c r="AY40" i="1"/>
  <c r="AX40" i="1"/>
  <c r="AW40" i="1"/>
  <c r="AV40" i="1"/>
  <c r="AU40" i="1"/>
  <c r="AT40" i="1"/>
  <c r="AS40" i="1"/>
  <c r="AR40" i="1"/>
  <c r="AQ40" i="1"/>
  <c r="AP40" i="1"/>
  <c r="BC40" i="1" s="1"/>
  <c r="BB39" i="1"/>
  <c r="BA39" i="1"/>
  <c r="AZ39" i="1"/>
  <c r="AY39" i="1"/>
  <c r="AX39" i="1"/>
  <c r="AW39" i="1"/>
  <c r="AV39" i="1"/>
  <c r="AU39" i="1"/>
  <c r="AT39" i="1"/>
  <c r="AS39" i="1"/>
  <c r="AR39" i="1"/>
  <c r="AQ39" i="1"/>
  <c r="AP39" i="1"/>
  <c r="BC39" i="1" s="1"/>
  <c r="BB38" i="1"/>
  <c r="BA38" i="1"/>
  <c r="AZ38" i="1"/>
  <c r="AY38" i="1"/>
  <c r="AX38" i="1"/>
  <c r="AW38" i="1"/>
  <c r="AV38" i="1"/>
  <c r="AU38" i="1"/>
  <c r="AT38" i="1"/>
  <c r="AS38" i="1"/>
  <c r="AR38" i="1"/>
  <c r="AQ38" i="1"/>
  <c r="AP38" i="1"/>
  <c r="BC38" i="1" s="1"/>
  <c r="BB37" i="1"/>
  <c r="BA37" i="1"/>
  <c r="AZ37" i="1"/>
  <c r="AY37" i="1"/>
  <c r="AX37" i="1"/>
  <c r="AW37" i="1"/>
  <c r="AV37" i="1"/>
  <c r="AU37" i="1"/>
  <c r="AT37" i="1"/>
  <c r="AS37" i="1"/>
  <c r="AR37" i="1"/>
  <c r="AQ37" i="1"/>
  <c r="AP37" i="1"/>
  <c r="BC37" i="1" s="1"/>
  <c r="BB36" i="1"/>
  <c r="BA36" i="1"/>
  <c r="AZ36" i="1"/>
  <c r="AY36" i="1"/>
  <c r="AX36" i="1"/>
  <c r="AW36" i="1"/>
  <c r="AV36" i="1"/>
  <c r="AU36" i="1"/>
  <c r="AT36" i="1"/>
  <c r="AS36" i="1"/>
  <c r="AR36" i="1"/>
  <c r="AQ36" i="1"/>
  <c r="AP36" i="1"/>
  <c r="BC36" i="1" s="1"/>
  <c r="BB35" i="1"/>
  <c r="BA35" i="1"/>
  <c r="AZ35" i="1"/>
  <c r="AY35" i="1"/>
  <c r="AX35" i="1"/>
  <c r="AW35" i="1"/>
  <c r="AV35" i="1"/>
  <c r="AU35" i="1"/>
  <c r="AT35" i="1"/>
  <c r="AS35" i="1"/>
  <c r="AR35" i="1"/>
  <c r="AQ35" i="1"/>
  <c r="AP35" i="1"/>
  <c r="BC35" i="1" s="1"/>
  <c r="BB34" i="1"/>
  <c r="BA34" i="1"/>
  <c r="AZ34" i="1"/>
  <c r="AY34" i="1"/>
  <c r="AX34" i="1"/>
  <c r="AW34" i="1"/>
  <c r="AV34" i="1"/>
  <c r="AU34" i="1"/>
  <c r="AT34" i="1"/>
  <c r="AS34" i="1"/>
  <c r="AR34" i="1"/>
  <c r="AQ34" i="1"/>
  <c r="AP34" i="1"/>
  <c r="BC34" i="1" s="1"/>
  <c r="BB33" i="1"/>
  <c r="BA33" i="1"/>
  <c r="AZ33" i="1"/>
  <c r="AY33" i="1"/>
  <c r="AX33" i="1"/>
  <c r="AW33" i="1"/>
  <c r="AV33" i="1"/>
  <c r="AU33" i="1"/>
  <c r="AT33" i="1"/>
  <c r="AS33" i="1"/>
  <c r="AR33" i="1"/>
  <c r="AQ33" i="1"/>
  <c r="AP33" i="1"/>
  <c r="BC33" i="1" s="1"/>
  <c r="BB32" i="1"/>
  <c r="BA32" i="1"/>
  <c r="AZ32" i="1"/>
  <c r="AY32" i="1"/>
  <c r="AX32" i="1"/>
  <c r="AW32" i="1"/>
  <c r="AV32" i="1"/>
  <c r="AU32" i="1"/>
  <c r="AT32" i="1"/>
  <c r="AS32" i="1"/>
  <c r="AR32" i="1"/>
  <c r="AQ32" i="1"/>
  <c r="AP32" i="1"/>
  <c r="BC32" i="1" s="1"/>
  <c r="BB31" i="1"/>
  <c r="BA31" i="1"/>
  <c r="AZ31" i="1"/>
  <c r="AY31" i="1"/>
  <c r="AX31" i="1"/>
  <c r="AW31" i="1"/>
  <c r="AV31" i="1"/>
  <c r="AU31" i="1"/>
  <c r="AT31" i="1"/>
  <c r="AS31" i="1"/>
  <c r="AR31" i="1"/>
  <c r="AQ31" i="1"/>
  <c r="AP31" i="1"/>
  <c r="BC31" i="1" s="1"/>
  <c r="BB30" i="1"/>
  <c r="BB51" i="1" s="1"/>
  <c r="BA30" i="1"/>
  <c r="BA51" i="1" s="1"/>
  <c r="AZ30" i="1"/>
  <c r="AZ51" i="1" s="1"/>
  <c r="AY30" i="1"/>
  <c r="AY51" i="1" s="1"/>
  <c r="AX30" i="1"/>
  <c r="AX51" i="1" s="1"/>
  <c r="AW30" i="1"/>
  <c r="AW51" i="1" s="1"/>
  <c r="AV30" i="1"/>
  <c r="AV51" i="1" s="1"/>
  <c r="AU30" i="1"/>
  <c r="AU51" i="1" s="1"/>
  <c r="AT30" i="1"/>
  <c r="AT51" i="1" s="1"/>
  <c r="AS30" i="1"/>
  <c r="AS51" i="1" s="1"/>
  <c r="AR30" i="1"/>
  <c r="AR51" i="1" s="1"/>
  <c r="AQ30" i="1"/>
  <c r="AQ51" i="1" s="1"/>
  <c r="AP30" i="1"/>
  <c r="AN26" i="1"/>
  <c r="D26" i="1"/>
  <c r="D51" i="1" s="1"/>
  <c r="BB25" i="1"/>
  <c r="BA25" i="1"/>
  <c r="AZ25" i="1"/>
  <c r="AY25" i="1"/>
  <c r="AX25" i="1"/>
  <c r="AW25" i="1"/>
  <c r="AV25" i="1"/>
  <c r="AU25" i="1"/>
  <c r="AT25" i="1"/>
  <c r="AS25" i="1"/>
  <c r="AR25" i="1"/>
  <c r="AQ25" i="1"/>
  <c r="AP25" i="1"/>
  <c r="BC25" i="1" s="1"/>
  <c r="BB24" i="1"/>
  <c r="BA24" i="1"/>
  <c r="AZ24" i="1"/>
  <c r="AY24" i="1"/>
  <c r="AX24" i="1"/>
  <c r="AW24" i="1"/>
  <c r="AV24" i="1"/>
  <c r="AU24" i="1"/>
  <c r="AT24" i="1"/>
  <c r="AS24" i="1"/>
  <c r="AR24" i="1"/>
  <c r="AQ24" i="1"/>
  <c r="AP24" i="1"/>
  <c r="BC24" i="1" s="1"/>
  <c r="BB23" i="1"/>
  <c r="BA23" i="1"/>
  <c r="AZ23" i="1"/>
  <c r="AY23" i="1"/>
  <c r="AX23" i="1"/>
  <c r="AW23" i="1"/>
  <c r="AV23" i="1"/>
  <c r="AU23" i="1"/>
  <c r="AT23" i="1"/>
  <c r="AS23" i="1"/>
  <c r="AR23" i="1"/>
  <c r="AQ23" i="1"/>
  <c r="AP23" i="1"/>
  <c r="BC23" i="1" s="1"/>
  <c r="BB22" i="1"/>
  <c r="BA22" i="1"/>
  <c r="AZ22" i="1"/>
  <c r="AY22" i="1"/>
  <c r="AX22" i="1"/>
  <c r="AW22" i="1"/>
  <c r="AV22" i="1"/>
  <c r="AU22" i="1"/>
  <c r="AT22" i="1"/>
  <c r="AS22" i="1"/>
  <c r="AR22" i="1"/>
  <c r="AQ22" i="1"/>
  <c r="AP22" i="1"/>
  <c r="BC22" i="1" s="1"/>
  <c r="BB21" i="1"/>
  <c r="BA21" i="1"/>
  <c r="AZ21" i="1"/>
  <c r="AY21" i="1"/>
  <c r="AX21" i="1"/>
  <c r="AW21" i="1"/>
  <c r="AV21" i="1"/>
  <c r="AU21" i="1"/>
  <c r="AT21" i="1"/>
  <c r="AS21" i="1"/>
  <c r="AR21" i="1"/>
  <c r="AQ21" i="1"/>
  <c r="AP21" i="1"/>
  <c r="BC21" i="1" s="1"/>
  <c r="BB20" i="1"/>
  <c r="BA20" i="1"/>
  <c r="AZ20" i="1"/>
  <c r="AY20" i="1"/>
  <c r="AX20" i="1"/>
  <c r="AW20" i="1"/>
  <c r="AV20" i="1"/>
  <c r="AU20" i="1"/>
  <c r="AT20" i="1"/>
  <c r="AS20" i="1"/>
  <c r="AR20" i="1"/>
  <c r="AQ20" i="1"/>
  <c r="AP20" i="1"/>
  <c r="BC20" i="1" s="1"/>
  <c r="BB19" i="1"/>
  <c r="BA19" i="1"/>
  <c r="AZ19" i="1"/>
  <c r="AY19" i="1"/>
  <c r="AX19" i="1"/>
  <c r="AW19" i="1"/>
  <c r="AV19" i="1"/>
  <c r="AU19" i="1"/>
  <c r="AT19" i="1"/>
  <c r="AS19" i="1"/>
  <c r="AR19" i="1"/>
  <c r="AQ19" i="1"/>
  <c r="AP19" i="1"/>
  <c r="BC19" i="1" s="1"/>
  <c r="BB18" i="1"/>
  <c r="BA18" i="1"/>
  <c r="AZ18" i="1"/>
  <c r="AY18" i="1"/>
  <c r="AX18" i="1"/>
  <c r="AW18" i="1"/>
  <c r="AV18" i="1"/>
  <c r="AU18" i="1"/>
  <c r="AT18" i="1"/>
  <c r="AS18" i="1"/>
  <c r="AR18" i="1"/>
  <c r="AQ18" i="1"/>
  <c r="AP18" i="1"/>
  <c r="BC18" i="1" s="1"/>
  <c r="BB17" i="1"/>
  <c r="BA17" i="1"/>
  <c r="AZ17" i="1"/>
  <c r="AY17" i="1"/>
  <c r="AX17" i="1"/>
  <c r="AW17" i="1"/>
  <c r="AV17" i="1"/>
  <c r="AU17" i="1"/>
  <c r="AT17" i="1"/>
  <c r="AS17" i="1"/>
  <c r="AR17" i="1"/>
  <c r="AQ17" i="1"/>
  <c r="AP17" i="1"/>
  <c r="BC17" i="1" s="1"/>
  <c r="BB16" i="1"/>
  <c r="BA16" i="1"/>
  <c r="AZ16" i="1"/>
  <c r="AY16" i="1"/>
  <c r="AX16" i="1"/>
  <c r="AW16" i="1"/>
  <c r="AV16" i="1"/>
  <c r="AU16" i="1"/>
  <c r="AT16" i="1"/>
  <c r="AS16" i="1"/>
  <c r="AR16" i="1"/>
  <c r="AQ16" i="1"/>
  <c r="AP16" i="1"/>
  <c r="BC16" i="1" s="1"/>
  <c r="BB15" i="1"/>
  <c r="BA15" i="1"/>
  <c r="AZ15" i="1"/>
  <c r="AY15" i="1"/>
  <c r="AX15" i="1"/>
  <c r="AW15" i="1"/>
  <c r="AV15" i="1"/>
  <c r="AU15" i="1"/>
  <c r="AT15" i="1"/>
  <c r="AS15" i="1"/>
  <c r="AR15" i="1"/>
  <c r="AQ15" i="1"/>
  <c r="AP15" i="1"/>
  <c r="BC15" i="1" s="1"/>
  <c r="BB14" i="1"/>
  <c r="BA14" i="1"/>
  <c r="AZ14" i="1"/>
  <c r="AY14" i="1"/>
  <c r="AX14" i="1"/>
  <c r="AW14" i="1"/>
  <c r="AV14" i="1"/>
  <c r="AU14" i="1"/>
  <c r="AT14" i="1"/>
  <c r="AS14" i="1"/>
  <c r="AR14" i="1"/>
  <c r="AQ14" i="1"/>
  <c r="AP14" i="1"/>
  <c r="BC14" i="1" s="1"/>
  <c r="BB13" i="1"/>
  <c r="BA13" i="1"/>
  <c r="AZ13" i="1"/>
  <c r="AY13" i="1"/>
  <c r="AX13" i="1"/>
  <c r="AW13" i="1"/>
  <c r="AV13" i="1"/>
  <c r="AU13" i="1"/>
  <c r="AT13" i="1"/>
  <c r="AS13" i="1"/>
  <c r="AR13" i="1"/>
  <c r="AQ13" i="1"/>
  <c r="AP13" i="1"/>
  <c r="BC13" i="1" s="1"/>
  <c r="BB12" i="1"/>
  <c r="BA12" i="1"/>
  <c r="AZ12" i="1"/>
  <c r="AY12" i="1"/>
  <c r="AX12" i="1"/>
  <c r="AW12" i="1"/>
  <c r="AV12" i="1"/>
  <c r="AU12" i="1"/>
  <c r="AT12" i="1"/>
  <c r="AS12" i="1"/>
  <c r="AR12" i="1"/>
  <c r="AQ12" i="1"/>
  <c r="AP12" i="1"/>
  <c r="BC12" i="1" s="1"/>
  <c r="BB11" i="1"/>
  <c r="BA11" i="1"/>
  <c r="AZ11" i="1"/>
  <c r="AY11" i="1"/>
  <c r="AX11" i="1"/>
  <c r="AW11" i="1"/>
  <c r="AV11" i="1"/>
  <c r="AU11" i="1"/>
  <c r="AT11" i="1"/>
  <c r="AS11" i="1"/>
  <c r="AR11" i="1"/>
  <c r="AQ11" i="1"/>
  <c r="AP11" i="1"/>
  <c r="BC11" i="1" s="1"/>
  <c r="BB10" i="1"/>
  <c r="BA10" i="1"/>
  <c r="AZ10" i="1"/>
  <c r="AY10" i="1"/>
  <c r="AX10" i="1"/>
  <c r="AW10" i="1"/>
  <c r="AV10" i="1"/>
  <c r="AU10" i="1"/>
  <c r="AT10" i="1"/>
  <c r="AS10" i="1"/>
  <c r="AR10" i="1"/>
  <c r="AQ10" i="1"/>
  <c r="AP10" i="1"/>
  <c r="BC10" i="1" s="1"/>
  <c r="BB9" i="1"/>
  <c r="BA9" i="1"/>
  <c r="AZ9" i="1"/>
  <c r="AY9" i="1"/>
  <c r="AX9" i="1"/>
  <c r="AW9" i="1"/>
  <c r="AV9" i="1"/>
  <c r="AU9" i="1"/>
  <c r="AT9" i="1"/>
  <c r="AS9" i="1"/>
  <c r="AR9" i="1"/>
  <c r="AQ9" i="1"/>
  <c r="AP9" i="1"/>
  <c r="BC9" i="1" s="1"/>
  <c r="BB8" i="1"/>
  <c r="BA8" i="1"/>
  <c r="AZ8" i="1"/>
  <c r="AY8" i="1"/>
  <c r="AX8" i="1"/>
  <c r="AW8" i="1"/>
  <c r="AV8" i="1"/>
  <c r="AU8" i="1"/>
  <c r="AT8" i="1"/>
  <c r="AS8" i="1"/>
  <c r="AR8" i="1"/>
  <c r="AQ8" i="1"/>
  <c r="AP8" i="1"/>
  <c r="BC8" i="1" s="1"/>
  <c r="BB7" i="1"/>
  <c r="BA7" i="1"/>
  <c r="AZ7" i="1"/>
  <c r="AY7" i="1"/>
  <c r="AX7" i="1"/>
  <c r="AW7" i="1"/>
  <c r="AV7" i="1"/>
  <c r="AU7" i="1"/>
  <c r="AT7" i="1"/>
  <c r="AS7" i="1"/>
  <c r="AR7" i="1"/>
  <c r="AQ7" i="1"/>
  <c r="AP7" i="1"/>
  <c r="BC7" i="1" s="1"/>
  <c r="BB6" i="1"/>
  <c r="BA6" i="1"/>
  <c r="AZ6" i="1"/>
  <c r="AY6" i="1"/>
  <c r="AX6" i="1"/>
  <c r="AW6" i="1"/>
  <c r="AV6" i="1"/>
  <c r="AU6" i="1"/>
  <c r="AT6" i="1"/>
  <c r="AS6" i="1"/>
  <c r="AR6" i="1"/>
  <c r="AQ6" i="1"/>
  <c r="AP6" i="1"/>
  <c r="BC6" i="1" s="1"/>
  <c r="BB5" i="1"/>
  <c r="BB26" i="1" s="1"/>
  <c r="BB52" i="1" s="1"/>
  <c r="BA5" i="1"/>
  <c r="BA26" i="1" s="1"/>
  <c r="BA52" i="1" s="1"/>
  <c r="AZ5" i="1"/>
  <c r="AZ26" i="1" s="1"/>
  <c r="AZ52" i="1" s="1"/>
  <c r="AY5" i="1"/>
  <c r="AY26" i="1" s="1"/>
  <c r="AY52" i="1" s="1"/>
  <c r="AX5" i="1"/>
  <c r="AX26" i="1" s="1"/>
  <c r="AX52" i="1" s="1"/>
  <c r="AW5" i="1"/>
  <c r="AW26" i="1" s="1"/>
  <c r="AW52" i="1" s="1"/>
  <c r="AV5" i="1"/>
  <c r="AV26" i="1" s="1"/>
  <c r="AV52" i="1" s="1"/>
  <c r="AU5" i="1"/>
  <c r="AU26" i="1" s="1"/>
  <c r="AU52" i="1" s="1"/>
  <c r="AT5" i="1"/>
  <c r="AT26" i="1" s="1"/>
  <c r="AT52" i="1" s="1"/>
  <c r="AS5" i="1"/>
  <c r="AS26" i="1" s="1"/>
  <c r="AS52" i="1" s="1"/>
  <c r="AR5" i="1"/>
  <c r="AR26" i="1" s="1"/>
  <c r="AR52" i="1" s="1"/>
  <c r="AQ5" i="1"/>
  <c r="AQ26" i="1" s="1"/>
  <c r="AQ52" i="1" s="1"/>
  <c r="AP5" i="1"/>
  <c r="AP26" i="1" l="1"/>
  <c r="BC5" i="1"/>
  <c r="AP51" i="1"/>
  <c r="BC51" i="1" s="1"/>
  <c r="BC30" i="1"/>
  <c r="BC50" i="1"/>
  <c r="E52" i="1"/>
  <c r="AN52" i="1" s="1"/>
  <c r="AN51" i="1"/>
  <c r="E59" i="1"/>
  <c r="E60" i="1" s="1"/>
  <c r="AM60" i="1" s="1"/>
  <c r="AM57" i="1"/>
  <c r="AM59" i="1" s="1"/>
  <c r="AP26" i="2"/>
  <c r="BC5" i="2"/>
  <c r="AP51" i="2"/>
  <c r="BC51" i="2" s="1"/>
  <c r="BC30" i="2"/>
  <c r="BC50" i="2"/>
  <c r="E52" i="2"/>
  <c r="AN52" i="2" s="1"/>
  <c r="AN51" i="2"/>
  <c r="E59" i="2"/>
  <c r="E60" i="2" s="1"/>
  <c r="AM60" i="2" s="1"/>
  <c r="AM57" i="2"/>
  <c r="AM59" i="2" s="1"/>
  <c r="AP26" i="3"/>
  <c r="BC5" i="3"/>
  <c r="AP51" i="3"/>
  <c r="BC51" i="3" s="1"/>
  <c r="BC30" i="3"/>
  <c r="BC50" i="3"/>
  <c r="E52" i="3"/>
  <c r="AN52" i="3" s="1"/>
  <c r="AN51" i="3"/>
  <c r="E59" i="3"/>
  <c r="E60" i="3" s="1"/>
  <c r="AM60" i="3" s="1"/>
  <c r="AM57" i="3"/>
  <c r="AM59" i="3" s="1"/>
  <c r="AP26" i="4"/>
  <c r="BC5" i="4"/>
  <c r="AP51" i="4"/>
  <c r="BC51" i="4" s="1"/>
  <c r="BC30" i="4"/>
  <c r="BC50" i="4"/>
  <c r="E52" i="4"/>
  <c r="AN52" i="4" s="1"/>
  <c r="AN51" i="4"/>
  <c r="E59" i="4"/>
  <c r="E60" i="4" s="1"/>
  <c r="AM60" i="4" s="1"/>
  <c r="AM57" i="4"/>
  <c r="AM59" i="4" s="1"/>
  <c r="AO60" i="4" l="1"/>
  <c r="AP52" i="4"/>
  <c r="BC26" i="4"/>
  <c r="BC52" i="4" s="1"/>
  <c r="AO60" i="3"/>
  <c r="AP52" i="3"/>
  <c r="BC26" i="3"/>
  <c r="BC52" i="3" s="1"/>
  <c r="AO60" i="2"/>
  <c r="AP52" i="2"/>
  <c r="BC26" i="2"/>
  <c r="BC52" i="2" s="1"/>
  <c r="AO60" i="1"/>
  <c r="AP52" i="1"/>
  <c r="BC26" i="1"/>
  <c r="BC52" i="1" s="1"/>
</calcChain>
</file>

<file path=xl/sharedStrings.xml><?xml version="1.0" encoding="utf-8"?>
<sst xmlns="http://schemas.openxmlformats.org/spreadsheetml/2006/main" count="5177" uniqueCount="112">
  <si>
    <t>2026 교육과정 시간운영계획(시간표, 시수통계표)</t>
  </si>
  <si>
    <t xml:space="preserve">2026학년도 </t>
  </si>
  <si>
    <t>초등과정 5학년 1반</t>
  </si>
  <si>
    <t>월</t>
  </si>
  <si>
    <t>주</t>
  </si>
  <si>
    <t>기간</t>
  </si>
  <si>
    <t>수업
일수</t>
  </si>
  <si>
    <t>월요일</t>
  </si>
  <si>
    <t>화요일</t>
  </si>
  <si>
    <t>수요일</t>
  </si>
  <si>
    <t>목요일</t>
  </si>
  <si>
    <t>금요일</t>
  </si>
  <si>
    <t>합계</t>
  </si>
  <si>
    <t>창체</t>
  </si>
  <si>
    <t>일상생활</t>
  </si>
  <si>
    <t>국</t>
  </si>
  <si>
    <t>수</t>
  </si>
  <si>
    <t>사</t>
  </si>
  <si>
    <t>과</t>
  </si>
  <si>
    <t>실</t>
  </si>
  <si>
    <t>체</t>
  </si>
  <si>
    <t>음</t>
  </si>
  <si>
    <t>미</t>
  </si>
  <si>
    <t>자</t>
  </si>
  <si>
    <t>동</t>
  </si>
  <si>
    <t>진</t>
  </si>
  <si>
    <t>의</t>
  </si>
  <si>
    <t>선</t>
  </si>
  <si>
    <t>계</t>
  </si>
  <si>
    <t>3/2 ~ 3/6</t>
  </si>
  <si>
    <t>대체공휴일</t>
  </si>
  <si>
    <t>입학식3교시</t>
  </si>
  <si>
    <t>3/9 ~ 3/13</t>
  </si>
  <si>
    <t>3/16 ~ 3/20</t>
  </si>
  <si>
    <t>3/23 ~ 3/27</t>
  </si>
  <si>
    <t>3/30 ~ 4/3</t>
  </si>
  <si>
    <t>4/6 ~ 4/10</t>
  </si>
  <si>
    <t>4/13 ~ 4/17</t>
  </si>
  <si>
    <t>4/20 ~ 4/24</t>
  </si>
  <si>
    <t>4/27 ~ 5/1</t>
  </si>
  <si>
    <t>학교장 재량휴업일</t>
  </si>
  <si>
    <t>5/4 ~ 5/8</t>
  </si>
  <si>
    <t>어린이날</t>
  </si>
  <si>
    <t>5/11 ~ 5/15</t>
  </si>
  <si>
    <t>5/18 ~ 5/22</t>
  </si>
  <si>
    <t>5/25 ~ 5/29</t>
  </si>
  <si>
    <t>6/1 ~ 6/5</t>
  </si>
  <si>
    <t>지방선거일</t>
  </si>
  <si>
    <t>6/8 ~ 6/12</t>
  </si>
  <si>
    <t>6/15 ~ 6/19</t>
  </si>
  <si>
    <t>6/22 ~ 6/26</t>
  </si>
  <si>
    <t>6/29 ~ 7/3</t>
  </si>
  <si>
    <t>7/6 ~ 7/10</t>
  </si>
  <si>
    <t>7/13 ~ 7/17</t>
  </si>
  <si>
    <t>제헌절</t>
  </si>
  <si>
    <t>7/20 ~ 7/24</t>
  </si>
  <si>
    <t>방학식4교시</t>
  </si>
  <si>
    <t>1학기 계</t>
  </si>
  <si>
    <t>8/17 ~ 8/21</t>
  </si>
  <si>
    <t>개학식4교시</t>
  </si>
  <si>
    <t>8/24 ~ 8/28</t>
  </si>
  <si>
    <t>8/31 ~ 9/4</t>
  </si>
  <si>
    <t>9/7 ~ 9/11</t>
  </si>
  <si>
    <t>9/14 ~ 9/18</t>
  </si>
  <si>
    <t>9/21 ~ 9/25</t>
  </si>
  <si>
    <t>재량휴업일</t>
  </si>
  <si>
    <t>추석연휴</t>
  </si>
  <si>
    <t>추석</t>
  </si>
  <si>
    <t>9/28 ~ 10/2</t>
  </si>
  <si>
    <t>10/5 ~ 10/9</t>
  </si>
  <si>
    <t>한글날</t>
  </si>
  <si>
    <t>10/12 ~ 10/16</t>
  </si>
  <si>
    <t>10/19 ~ 10/23</t>
  </si>
  <si>
    <t>10/26 ~ 10/30</t>
  </si>
  <si>
    <t>11/2 ~ 11/6</t>
  </si>
  <si>
    <t>11/9 ~ 11/13</t>
  </si>
  <si>
    <t>11/16 ~11/20</t>
  </si>
  <si>
    <t>11/23 ~ 11/27</t>
  </si>
  <si>
    <t>11/30 ~ 12/4</t>
  </si>
  <si>
    <t>12/7 ~12/11</t>
  </si>
  <si>
    <t>12/14 ~12/18</t>
  </si>
  <si>
    <t>12/21 ~12/25</t>
  </si>
  <si>
    <t>기독탄신일</t>
  </si>
  <si>
    <t>12/28 ~1/1</t>
  </si>
  <si>
    <t>종업4교시</t>
  </si>
  <si>
    <t>2학기 계</t>
  </si>
  <si>
    <t>총계</t>
  </si>
  <si>
    <t>과목</t>
  </si>
  <si>
    <t>국어
(5)</t>
  </si>
  <si>
    <t>수학
(3)</t>
  </si>
  <si>
    <t>사회
(3)</t>
  </si>
  <si>
    <t>과학
(2)</t>
  </si>
  <si>
    <t>실과
(2)</t>
  </si>
  <si>
    <t>체육
(2)</t>
  </si>
  <si>
    <t>음악
(1/2)</t>
  </si>
  <si>
    <t>미술
(2/1)</t>
  </si>
  <si>
    <t>창의적체험활동(204)</t>
  </si>
  <si>
    <t>일상생활(170)</t>
  </si>
  <si>
    <t>오류검증</t>
  </si>
  <si>
    <t>자율(4)</t>
  </si>
  <si>
    <t>동아리(1)</t>
  </si>
  <si>
    <t>진로</t>
  </si>
  <si>
    <t>의사소통(2)</t>
  </si>
  <si>
    <t>선택(2)</t>
  </si>
  <si>
    <t>기준</t>
  </si>
  <si>
    <t>1학기</t>
  </si>
  <si>
    <t>2학기</t>
  </si>
  <si>
    <t>증감</t>
  </si>
  <si>
    <t>초등과정 5학년 2반</t>
  </si>
  <si>
    <t>초등과정 6학년 1반</t>
  </si>
  <si>
    <t>초등과정 6학년 2반</t>
  </si>
  <si>
    <t>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</si>
</sst>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rgb="FF000000"/>
      <name val="HNC_GO_B_HINT_GS"/>
    </font>
    <font>
      <sz val="11"/>
      <color rgb="FF000000"/>
      <name val="맑은 고딕"/>
    </font>
    <font>
      <b/>
      <sz val="20"/>
      <color rgb="FF000000"/>
      <name val="Malgun Gothic"/>
    </font>
    <font>
      <b/>
      <sz val="11"/>
      <color rgb="FF000000"/>
      <name val="Malgun Gothic"/>
    </font>
    <font>
      <sz val="11"/>
      <color rgb="FF000000"/>
      <name val="Malgun Gothic"/>
    </font>
    <font>
      <b/>
      <sz val="16"/>
      <color rgb="FF000000"/>
      <name val="HY헤드라인M"/>
    </font>
    <font>
      <sz val="16"/>
      <color rgb="FF000000"/>
      <name val="HY헤드라인M"/>
    </font>
    <font>
      <sz val="11"/>
      <color rgb="FF000000"/>
      <name val="HY헤드라인M"/>
    </font>
    <font>
      <b/>
      <sz val="13"/>
      <color rgb="FF000000"/>
      <name val="Malgun Gothic"/>
    </font>
    <font>
      <b/>
      <sz val="13"/>
      <color rgb="FFFF0000"/>
      <name val="Malgun Gothic"/>
    </font>
    <font>
      <sz val="13"/>
      <color rgb="FF000000"/>
      <name val="Malgun Gothic"/>
    </font>
    <font>
      <sz val="13"/>
      <color rgb="FFFF0000"/>
      <name val="Malgun Gothic"/>
    </font>
    <font>
      <b/>
      <sz val="13"/>
      <color rgb="FFC75252"/>
      <name val="Malgun Gothic"/>
    </font>
    <font>
      <b/>
      <sz val="8"/>
      <color rgb="FFFFFFFF"/>
      <name val="Malgun Gothic"/>
    </font>
    <font>
      <b/>
      <sz val="20"/>
      <color rgb="FF000000"/>
      <name val="HY헤드라인M"/>
    </font>
    <font>
      <b/>
      <sz val="13"/>
      <color rgb="FFFFFFFF"/>
      <name val="Malgun Gothic"/>
    </font>
    <font>
      <b/>
      <sz val="11"/>
      <color rgb="FF000000"/>
      <name val="HNC_GO_B_HINT_GS"/>
    </font>
    <font>
      <b/>
      <sz val="12"/>
      <color rgb="FF000000"/>
      <name val="Malgun Gothic"/>
    </font>
    <font>
      <sz val="12"/>
      <color rgb="FF000000"/>
      <name val="Malgun Gothic"/>
    </font>
    <font>
      <b/>
      <sz val="10"/>
      <color rgb="FF000000"/>
      <name val="Malgun Gothic"/>
    </font>
    <font>
      <b/>
      <sz val="10"/>
      <color rgb="FF000000"/>
      <name val="HNC_GO_B_HINT_GS"/>
    </font>
  </fonts>
  <fills count="20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0ABAFA"/>
        <bgColor rgb="FF0ABAFA"/>
      </patternFill>
    </fill>
    <fill>
      <patternFill patternType="solid">
        <fgColor rgb="FFF3DCDB"/>
        <bgColor rgb="FFF3DCDB"/>
      </patternFill>
    </fill>
    <fill>
      <patternFill patternType="solid">
        <fgColor rgb="FFF5F50A"/>
        <bgColor rgb="FFF5F50A"/>
      </patternFill>
    </fill>
    <fill>
      <patternFill patternType="solid">
        <fgColor rgb="FF289B6E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843A"/>
        <bgColor indexed="64"/>
      </patternFill>
    </fill>
    <fill>
      <patternFill patternType="solid">
        <fgColor rgb="FFFFD7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289B6E"/>
        <bgColor rgb="FF289B6E"/>
      </patternFill>
    </fill>
    <fill>
      <patternFill patternType="solid">
        <fgColor rgb="FF98DA5A"/>
        <bgColor rgb="FF98DA5A"/>
      </patternFill>
    </fill>
    <fill>
      <patternFill patternType="solid">
        <fgColor rgb="FF92D050"/>
        <bgColor rgb="FF92D050"/>
      </patternFill>
    </fill>
    <fill>
      <patternFill patternType="solid">
        <fgColor rgb="FF00B0F0"/>
        <bgColor rgb="FF00B0F0"/>
      </patternFill>
    </fill>
    <fill>
      <patternFill patternType="solid">
        <fgColor rgb="FFF3DCDB"/>
        <bgColor rgb="FF92D050"/>
      </patternFill>
    </fill>
    <fill>
      <patternFill patternType="solid">
        <fgColor rgb="FFF3DCDB"/>
        <bgColor indexed="64"/>
      </patternFill>
    </fill>
    <fill>
      <patternFill patternType="solid">
        <fgColor rgb="FFFFFF00"/>
        <bgColor rgb="FFFFFF00"/>
      </patternFill>
    </fill>
  </fills>
  <borders count="8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thin">
        <color rgb="FF000000"/>
      </right>
      <top style="thin">
        <color rgb="FF000000"/>
      </top>
      <bottom style="medium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auto="1"/>
      </right>
      <top style="thin">
        <color rgb="FF000000"/>
      </top>
      <bottom style="thin">
        <color rgb="FF000000"/>
      </bottom>
      <diagonal/>
    </border>
    <border>
      <left/>
      <right style="medium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auto="1"/>
      </bottom>
      <diagonal/>
    </border>
    <border>
      <left style="thin">
        <color rgb="FF000000"/>
      </left>
      <right style="medium">
        <color auto="1"/>
      </right>
      <top style="thin">
        <color rgb="FF000000"/>
      </top>
      <bottom style="medium">
        <color auto="1"/>
      </bottom>
      <diagonal/>
    </border>
    <border>
      <left style="thin">
        <color rgb="FF000000"/>
      </left>
      <right style="medium">
        <color auto="1"/>
      </right>
      <top/>
      <bottom style="thin">
        <color rgb="FF000000"/>
      </bottom>
      <diagonal/>
    </border>
    <border>
      <left style="medium">
        <color auto="1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auto="1"/>
      </right>
      <top/>
      <bottom style="thin">
        <color rgb="FF000000"/>
      </bottom>
      <diagonal/>
    </border>
    <border>
      <left/>
      <right style="medium">
        <color auto="1"/>
      </right>
      <top style="thin">
        <color rgb="FF000000"/>
      </top>
      <bottom style="medium">
        <color auto="1"/>
      </bottom>
      <diagonal/>
    </border>
    <border>
      <left style="thin">
        <color rgb="FF000000"/>
      </left>
      <right style="medium">
        <color auto="1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rgb="FF000000"/>
      </top>
      <bottom/>
      <diagonal/>
    </border>
    <border>
      <left style="thin">
        <color rgb="FF000000"/>
      </left>
      <right style="medium">
        <color auto="1"/>
      </right>
      <top style="medium">
        <color auto="1"/>
      </top>
      <bottom style="thin">
        <color rgb="FF000000"/>
      </bottom>
      <diagonal/>
    </border>
    <border>
      <left/>
      <right style="medium">
        <color auto="1"/>
      </right>
      <top style="medium">
        <color auto="1"/>
      </top>
      <bottom style="thin">
        <color rgb="FF000000"/>
      </bottom>
      <diagonal/>
    </border>
    <border>
      <left style="thin">
        <color rgb="FF000000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auto="1"/>
      </left>
      <right style="thin">
        <color rgb="FF000000"/>
      </right>
      <top style="medium">
        <color auto="1"/>
      </top>
      <bottom/>
      <diagonal/>
    </border>
    <border>
      <left style="medium">
        <color auto="1"/>
      </left>
      <right style="thin">
        <color rgb="FF000000"/>
      </right>
      <top/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medium">
        <color auto="1"/>
      </top>
      <bottom/>
      <diagonal/>
    </border>
    <border>
      <left style="thin">
        <color rgb="FF000000"/>
      </left>
      <right style="thin">
        <color rgb="FF000000"/>
      </right>
      <top/>
      <bottom style="medium">
        <color auto="1"/>
      </bottom>
      <diagonal/>
    </border>
    <border>
      <left style="thin">
        <color rgb="FF000000"/>
      </left>
      <right style="medium">
        <color auto="1"/>
      </right>
      <top style="medium">
        <color auto="1"/>
      </top>
      <bottom/>
      <diagonal/>
    </border>
    <border>
      <left style="thin">
        <color rgb="FF000000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rgb="FF000000"/>
      </bottom>
      <diagonal/>
    </border>
    <border>
      <left/>
      <right/>
      <top style="medium">
        <color auto="1"/>
      </top>
      <bottom style="thin">
        <color rgb="FF000000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rgb="FF000000"/>
      </right>
      <top/>
      <bottom/>
      <diagonal/>
    </border>
    <border>
      <left style="medium">
        <color auto="1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auto="1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rgb="FF000000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rgb="FF000000"/>
      </right>
      <top style="thin">
        <color auto="1"/>
      </top>
      <bottom/>
      <diagonal/>
    </border>
    <border>
      <left style="medium">
        <color auto="1"/>
      </left>
      <right style="thin">
        <color rgb="FF000000"/>
      </right>
      <top/>
      <bottom style="thin">
        <color auto="1"/>
      </bottom>
      <diagonal/>
    </border>
    <border>
      <left style="medium">
        <color auto="1"/>
      </left>
      <right/>
      <top style="thin">
        <color rgb="FF000000"/>
      </top>
      <bottom/>
      <diagonal/>
    </border>
    <border>
      <left/>
      <right style="thin">
        <color rgb="FF000000"/>
      </right>
      <top style="medium">
        <color auto="1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rgb="FF000000"/>
      </right>
      <top/>
      <bottom style="medium">
        <color auto="1"/>
      </bottom>
      <diagonal/>
    </border>
    <border>
      <left style="medium">
        <color auto="1"/>
      </left>
      <right/>
      <top style="thin">
        <color rgb="FF000000"/>
      </top>
      <bottom style="medium">
        <color auto="1"/>
      </bottom>
      <diagonal/>
    </border>
    <border>
      <left/>
      <right/>
      <top style="thin">
        <color rgb="FF000000"/>
      </top>
      <bottom style="medium">
        <color auto="1"/>
      </bottom>
      <diagonal/>
    </border>
    <border>
      <left style="thin">
        <color rgb="FF000000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rgb="FF000000"/>
      </right>
      <top style="medium">
        <color auto="1"/>
      </top>
      <bottom/>
      <diagonal/>
    </border>
    <border>
      <left style="thin">
        <color rgb="FF000000"/>
      </left>
      <right/>
      <top style="medium">
        <color auto="1"/>
      </top>
      <bottom style="thin">
        <color rgb="FF000000"/>
      </bottom>
      <diagonal/>
    </border>
    <border>
      <left style="medium">
        <color rgb="FF000000"/>
      </left>
      <right/>
      <top style="medium">
        <color auto="1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auto="1"/>
      </bottom>
      <diagonal/>
    </border>
    <border>
      <left/>
      <right style="thin">
        <color rgb="FF000000"/>
      </right>
      <top style="thin">
        <color rgb="FF000000"/>
      </top>
      <bottom style="medium">
        <color auto="1"/>
      </bottom>
      <diagonal/>
    </border>
    <border>
      <left style="medium">
        <color rgb="FF000000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medium">
        <color auto="1"/>
      </top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222">
    <xf numFmtId="0" fontId="0" fillId="0" borderId="0" xfId="0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vertical="center" wrapText="1"/>
    </xf>
    <xf numFmtId="0" fontId="7" fillId="0" borderId="0" xfId="0" applyFont="1">
      <alignment vertical="center"/>
    </xf>
    <xf numFmtId="0" fontId="6" fillId="0" borderId="0" xfId="0" applyFont="1" applyAlignment="1">
      <alignment horizontal="right" vertical="center" wrapText="1"/>
    </xf>
    <xf numFmtId="0" fontId="5" fillId="0" borderId="0" xfId="0" applyFont="1" applyAlignment="1">
      <alignment vertical="center" wrapText="1"/>
    </xf>
    <xf numFmtId="0" fontId="5" fillId="0" borderId="0" xfId="0" applyFont="1">
      <alignment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10" fillId="0" borderId="0" xfId="0" applyFont="1">
      <alignment vertical="center"/>
    </xf>
    <xf numFmtId="0" fontId="8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10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0" fontId="8" fillId="0" borderId="0" xfId="0" applyFont="1">
      <alignment vertical="center"/>
    </xf>
    <xf numFmtId="0" fontId="11" fillId="0" borderId="1" xfId="0" applyFont="1" applyBorder="1" applyAlignment="1">
      <alignment horizontal="center" vertical="center"/>
    </xf>
    <xf numFmtId="1" fontId="8" fillId="0" borderId="2" xfId="0" applyNumberFormat="1" applyFont="1" applyBorder="1" applyAlignment="1">
      <alignment horizontal="center" vertical="center" wrapText="1"/>
    </xf>
    <xf numFmtId="1" fontId="8" fillId="2" borderId="2" xfId="0" applyNumberFormat="1" applyFont="1" applyFill="1" applyBorder="1" applyAlignment="1">
      <alignment horizontal="center" vertical="center" wrapText="1"/>
    </xf>
    <xf numFmtId="1" fontId="8" fillId="0" borderId="3" xfId="0" applyNumberFormat="1" applyFont="1" applyBorder="1" applyAlignment="1">
      <alignment horizontal="center" vertical="center" wrapText="1"/>
    </xf>
    <xf numFmtId="1" fontId="8" fillId="2" borderId="3" xfId="0" applyNumberFormat="1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/>
    </xf>
    <xf numFmtId="0" fontId="8" fillId="0" borderId="9" xfId="0" applyFont="1" applyBorder="1" applyAlignment="1">
      <alignment horizontal="center" vertical="center" wrapText="1"/>
    </xf>
    <xf numFmtId="1" fontId="8" fillId="0" borderId="4" xfId="0" applyNumberFormat="1" applyFont="1" applyBorder="1" applyAlignment="1">
      <alignment horizontal="center" vertical="center" wrapText="1"/>
    </xf>
    <xf numFmtId="1" fontId="8" fillId="2" borderId="9" xfId="0" applyNumberFormat="1" applyFont="1" applyFill="1" applyBorder="1" applyAlignment="1">
      <alignment horizontal="center" vertical="center" wrapText="1"/>
    </xf>
    <xf numFmtId="1" fontId="8" fillId="0" borderId="9" xfId="0" applyNumberFormat="1" applyFont="1" applyBorder="1" applyAlignment="1">
      <alignment horizontal="center" vertical="center" wrapText="1"/>
    </xf>
    <xf numFmtId="1" fontId="8" fillId="0" borderId="10" xfId="0" applyNumberFormat="1" applyFont="1" applyBorder="1" applyAlignment="1">
      <alignment horizontal="center" vertical="center" wrapText="1"/>
    </xf>
    <xf numFmtId="1" fontId="9" fillId="0" borderId="10" xfId="0" applyNumberFormat="1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1" fontId="8" fillId="0" borderId="14" xfId="0" applyNumberFormat="1" applyFont="1" applyBorder="1" applyAlignment="1">
      <alignment horizontal="center" vertical="center" wrapText="1"/>
    </xf>
    <xf numFmtId="1" fontId="8" fillId="2" borderId="13" xfId="0" applyNumberFormat="1" applyFont="1" applyFill="1" applyBorder="1" applyAlignment="1">
      <alignment horizontal="center" vertical="center" wrapText="1"/>
    </xf>
    <xf numFmtId="1" fontId="8" fillId="0" borderId="13" xfId="0" applyNumberFormat="1" applyFont="1" applyBorder="1" applyAlignment="1">
      <alignment horizontal="center" vertical="center" wrapText="1"/>
    </xf>
    <xf numFmtId="1" fontId="8" fillId="0" borderId="15" xfId="0" applyNumberFormat="1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1" fontId="8" fillId="2" borderId="17" xfId="0" applyNumberFormat="1" applyFont="1" applyFill="1" applyBorder="1" applyAlignment="1">
      <alignment horizontal="center" vertical="center" wrapText="1"/>
    </xf>
    <xf numFmtId="1" fontId="13" fillId="6" borderId="18" xfId="0" applyNumberFormat="1" applyFont="1" applyFill="1" applyBorder="1" applyAlignment="1">
      <alignment horizontal="center" vertical="center" wrapText="1"/>
    </xf>
    <xf numFmtId="1" fontId="8" fillId="2" borderId="18" xfId="0" applyNumberFormat="1" applyFont="1" applyFill="1" applyBorder="1" applyAlignment="1">
      <alignment horizontal="center" vertical="center" wrapText="1"/>
    </xf>
    <xf numFmtId="1" fontId="8" fillId="2" borderId="19" xfId="0" applyNumberFormat="1" applyFont="1" applyFill="1" applyBorder="1" applyAlignment="1">
      <alignment horizontal="center" vertical="center" wrapText="1"/>
    </xf>
    <xf numFmtId="1" fontId="8" fillId="7" borderId="20" xfId="0" applyNumberFormat="1" applyFont="1" applyFill="1" applyBorder="1" applyAlignment="1">
      <alignment horizontal="center" vertical="center" wrapText="1"/>
    </xf>
    <xf numFmtId="1" fontId="8" fillId="7" borderId="18" xfId="0" applyNumberFormat="1" applyFont="1" applyFill="1" applyBorder="1" applyAlignment="1">
      <alignment horizontal="center" vertical="center" wrapText="1"/>
    </xf>
    <xf numFmtId="1" fontId="8" fillId="0" borderId="21" xfId="0" applyNumberFormat="1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1" fontId="8" fillId="2" borderId="14" xfId="0" applyNumberFormat="1" applyFont="1" applyFill="1" applyBorder="1" applyAlignment="1">
      <alignment horizontal="center" vertical="center" wrapText="1"/>
    </xf>
    <xf numFmtId="1" fontId="9" fillId="0" borderId="15" xfId="0" applyNumberFormat="1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8" fillId="0" borderId="24" xfId="0" applyFont="1" applyBorder="1" applyAlignment="1">
      <alignment horizontal="center" vertical="center"/>
    </xf>
    <xf numFmtId="1" fontId="8" fillId="0" borderId="25" xfId="0" applyNumberFormat="1" applyFont="1" applyBorder="1" applyAlignment="1">
      <alignment horizontal="center" vertical="center"/>
    </xf>
    <xf numFmtId="1" fontId="8" fillId="8" borderId="1" xfId="0" applyNumberFormat="1" applyFont="1" applyFill="1" applyBorder="1" applyAlignment="1">
      <alignment horizontal="center" vertical="center" wrapText="1"/>
    </xf>
    <xf numFmtId="1" fontId="8" fillId="9" borderId="4" xfId="0" applyNumberFormat="1" applyFont="1" applyFill="1" applyBorder="1" applyAlignment="1">
      <alignment horizontal="center" vertical="center" wrapText="1"/>
    </xf>
    <xf numFmtId="1" fontId="8" fillId="8" borderId="4" xfId="0" applyNumberFormat="1" applyFont="1" applyFill="1" applyBorder="1" applyAlignment="1">
      <alignment horizontal="center" vertical="center" wrapText="1"/>
    </xf>
    <xf numFmtId="1" fontId="8" fillId="8" borderId="9" xfId="0" applyNumberFormat="1" applyFont="1" applyFill="1" applyBorder="1" applyAlignment="1">
      <alignment horizontal="center" vertical="center" wrapText="1"/>
    </xf>
    <xf numFmtId="1" fontId="8" fillId="10" borderId="1" xfId="0" applyNumberFormat="1" applyFont="1" applyFill="1" applyBorder="1" applyAlignment="1">
      <alignment horizontal="center" vertical="center" wrapText="1"/>
    </xf>
    <xf numFmtId="1" fontId="8" fillId="11" borderId="1" xfId="0" applyNumberFormat="1" applyFont="1" applyFill="1" applyBorder="1" applyAlignment="1">
      <alignment horizontal="center" vertical="center" wrapText="1"/>
    </xf>
    <xf numFmtId="1" fontId="8" fillId="11" borderId="4" xfId="0" applyNumberFormat="1" applyFont="1" applyFill="1" applyBorder="1" applyAlignment="1">
      <alignment horizontal="center" vertical="center" wrapText="1"/>
    </xf>
    <xf numFmtId="1" fontId="8" fillId="12" borderId="1" xfId="0" applyNumberFormat="1" applyFont="1" applyFill="1" applyBorder="1" applyAlignment="1">
      <alignment horizontal="center" vertical="center" wrapText="1"/>
    </xf>
    <xf numFmtId="1" fontId="8" fillId="11" borderId="3" xfId="0" applyNumberFormat="1" applyFont="1" applyFill="1" applyBorder="1" applyAlignment="1">
      <alignment horizontal="center" vertical="center" wrapText="1"/>
    </xf>
    <xf numFmtId="1" fontId="8" fillId="11" borderId="14" xfId="0" applyNumberFormat="1" applyFont="1" applyFill="1" applyBorder="1" applyAlignment="1">
      <alignment horizontal="center" vertical="center" wrapText="1"/>
    </xf>
    <xf numFmtId="1" fontId="8" fillId="11" borderId="9" xfId="0" applyNumberFormat="1" applyFont="1" applyFill="1" applyBorder="1" applyAlignment="1">
      <alignment horizontal="center" vertical="center" wrapText="1"/>
    </xf>
    <xf numFmtId="1" fontId="8" fillId="11" borderId="26" xfId="0" applyNumberFormat="1" applyFont="1" applyFill="1" applyBorder="1" applyAlignment="1">
      <alignment horizontal="center" vertical="center" wrapText="1"/>
    </xf>
    <xf numFmtId="1" fontId="8" fillId="11" borderId="2" xfId="0" applyNumberFormat="1" applyFont="1" applyFill="1" applyBorder="1" applyAlignment="1">
      <alignment horizontal="center" vertical="center" wrapText="1"/>
    </xf>
    <xf numFmtId="1" fontId="8" fillId="10" borderId="3" xfId="0" applyNumberFormat="1" applyFont="1" applyFill="1" applyBorder="1" applyAlignment="1">
      <alignment horizontal="center" vertical="center" wrapText="1"/>
    </xf>
    <xf numFmtId="0" fontId="0" fillId="7" borderId="1" xfId="0" applyFill="1" applyBorder="1">
      <alignment vertical="center"/>
    </xf>
    <xf numFmtId="0" fontId="0" fillId="7" borderId="9" xfId="0" applyFill="1" applyBorder="1">
      <alignment vertical="center"/>
    </xf>
    <xf numFmtId="0" fontId="0" fillId="0" borderId="0" xfId="1" applyFont="1">
      <alignment vertical="center"/>
    </xf>
    <xf numFmtId="1" fontId="8" fillId="10" borderId="14" xfId="0" applyNumberFormat="1" applyFont="1" applyFill="1" applyBorder="1" applyAlignment="1">
      <alignment horizontal="center" vertical="center" wrapText="1"/>
    </xf>
    <xf numFmtId="0" fontId="8" fillId="0" borderId="27" xfId="0" applyFont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0" fontId="0" fillId="7" borderId="28" xfId="0" applyFill="1" applyBorder="1" applyAlignment="1">
      <alignment horizontal="center" vertical="center"/>
    </xf>
    <xf numFmtId="0" fontId="8" fillId="11" borderId="29" xfId="0" applyFont="1" applyFill="1" applyBorder="1" applyAlignment="1">
      <alignment horizontal="center" vertical="center"/>
    </xf>
    <xf numFmtId="0" fontId="8" fillId="11" borderId="3" xfId="0" applyFont="1" applyFill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0" fillId="0" borderId="30" xfId="0" applyBorder="1">
      <alignment vertical="center"/>
    </xf>
    <xf numFmtId="0" fontId="0" fillId="7" borderId="1" xfId="0" applyFill="1" applyBorder="1" applyAlignment="1">
      <alignment horizontal="center" vertical="center"/>
    </xf>
    <xf numFmtId="0" fontId="0" fillId="7" borderId="31" xfId="0" applyFill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31" xfId="0" applyFont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0" fillId="0" borderId="32" xfId="0" applyBorder="1">
      <alignment vertical="center"/>
    </xf>
    <xf numFmtId="0" fontId="8" fillId="10" borderId="3" xfId="0" applyFont="1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0" fillId="7" borderId="33" xfId="0" applyFill="1" applyBorder="1" applyAlignment="1">
      <alignment horizontal="center" vertical="center"/>
    </xf>
    <xf numFmtId="0" fontId="0" fillId="0" borderId="34" xfId="0" applyBorder="1">
      <alignment vertical="center"/>
    </xf>
    <xf numFmtId="0" fontId="0" fillId="7" borderId="27" xfId="0" applyFill="1" applyBorder="1" applyAlignment="1">
      <alignment horizontal="center" vertical="center"/>
    </xf>
    <xf numFmtId="0" fontId="13" fillId="6" borderId="2" xfId="0" applyFont="1" applyFill="1" applyBorder="1" applyAlignment="1">
      <alignment horizontal="center" vertical="center"/>
    </xf>
    <xf numFmtId="0" fontId="0" fillId="7" borderId="35" xfId="0" applyFill="1" applyBorder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horizontal="right" vertical="center"/>
    </xf>
    <xf numFmtId="0" fontId="5" fillId="0" borderId="0" xfId="0" applyFont="1" applyAlignment="1">
      <alignment horizontal="right" vertical="center" wrapText="1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 shrinkToFit="1"/>
    </xf>
    <xf numFmtId="0" fontId="8" fillId="0" borderId="36" xfId="0" applyFont="1" applyBorder="1" applyAlignment="1">
      <alignment horizontal="center" vertical="center"/>
    </xf>
    <xf numFmtId="0" fontId="8" fillId="0" borderId="38" xfId="0" applyFont="1" applyBorder="1" applyAlignment="1">
      <alignment horizontal="center" vertical="center" wrapText="1"/>
    </xf>
    <xf numFmtId="0" fontId="8" fillId="0" borderId="40" xfId="0" applyFont="1" applyBorder="1" applyAlignment="1">
      <alignment horizontal="center" vertical="center" wrapText="1"/>
    </xf>
    <xf numFmtId="0" fontId="8" fillId="0" borderId="42" xfId="0" applyFont="1" applyBorder="1" applyAlignment="1">
      <alignment horizontal="center" vertical="center" wrapText="1"/>
    </xf>
    <xf numFmtId="0" fontId="8" fillId="0" borderId="44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0" fillId="0" borderId="7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 shrinkToFit="1"/>
    </xf>
    <xf numFmtId="0" fontId="8" fillId="0" borderId="46" xfId="0" applyFont="1" applyBorder="1" applyAlignment="1">
      <alignment horizontal="center" vertical="center"/>
    </xf>
    <xf numFmtId="1" fontId="15" fillId="13" borderId="47" xfId="0" applyNumberFormat="1" applyFont="1" applyFill="1" applyBorder="1" applyAlignment="1">
      <alignment horizontal="center" vertical="center" wrapText="1"/>
    </xf>
    <xf numFmtId="1" fontId="15" fillId="6" borderId="49" xfId="0" applyNumberFormat="1" applyFont="1" applyFill="1" applyBorder="1" applyAlignment="1">
      <alignment horizontal="center" vertical="center" wrapText="1"/>
    </xf>
    <xf numFmtId="1" fontId="15" fillId="6" borderId="48" xfId="0" applyNumberFormat="1" applyFont="1" applyFill="1" applyBorder="1" applyAlignment="1">
      <alignment horizontal="center" vertical="center" wrapText="1"/>
    </xf>
    <xf numFmtId="1" fontId="15" fillId="6" borderId="15" xfId="0" applyNumberFormat="1" applyFont="1" applyFill="1" applyBorder="1" applyAlignment="1">
      <alignment horizontal="center" vertical="center" wrapText="1"/>
    </xf>
    <xf numFmtId="0" fontId="8" fillId="0" borderId="26" xfId="0" applyFont="1" applyBorder="1" applyAlignment="1">
      <alignment horizontal="center" vertical="center"/>
    </xf>
    <xf numFmtId="1" fontId="15" fillId="13" borderId="50" xfId="0" applyNumberFormat="1" applyFont="1" applyFill="1" applyBorder="1" applyAlignment="1">
      <alignment horizontal="center" vertical="center" wrapText="1"/>
    </xf>
    <xf numFmtId="1" fontId="15" fillId="6" borderId="52" xfId="0" applyNumberFormat="1" applyFont="1" applyFill="1" applyBorder="1" applyAlignment="1">
      <alignment horizontal="center" vertical="center" wrapText="1"/>
    </xf>
    <xf numFmtId="1" fontId="15" fillId="6" borderId="53" xfId="0" applyNumberFormat="1" applyFont="1" applyFill="1" applyBorder="1" applyAlignment="1">
      <alignment horizontal="center" vertical="center" wrapText="1"/>
    </xf>
    <xf numFmtId="1" fontId="15" fillId="6" borderId="21" xfId="0" applyNumberFormat="1" applyFont="1" applyFill="1" applyBorder="1" applyAlignment="1">
      <alignment horizontal="center" vertical="center" wrapText="1"/>
    </xf>
    <xf numFmtId="0" fontId="8" fillId="0" borderId="54" xfId="0" applyFont="1" applyBorder="1" applyAlignment="1">
      <alignment horizontal="center" vertical="center"/>
    </xf>
    <xf numFmtId="0" fontId="8" fillId="0" borderId="57" xfId="0" applyFont="1" applyBorder="1" applyAlignment="1">
      <alignment horizontal="center" vertical="center"/>
    </xf>
    <xf numFmtId="0" fontId="8" fillId="0" borderId="58" xfId="0" applyFont="1" applyBorder="1" applyAlignment="1">
      <alignment horizontal="center" vertical="center"/>
    </xf>
    <xf numFmtId="1" fontId="15" fillId="13" borderId="59" xfId="0" applyNumberFormat="1" applyFont="1" applyFill="1" applyBorder="1" applyAlignment="1">
      <alignment horizontal="center" vertical="center" wrapText="1"/>
    </xf>
    <xf numFmtId="0" fontId="8" fillId="0" borderId="37" xfId="0" applyFont="1" applyBorder="1" applyAlignment="1">
      <alignment horizontal="center" vertical="center"/>
    </xf>
    <xf numFmtId="0" fontId="8" fillId="0" borderId="47" xfId="0" applyFont="1" applyBorder="1" applyAlignment="1">
      <alignment horizontal="center" vertical="center"/>
    </xf>
    <xf numFmtId="0" fontId="8" fillId="0" borderId="42" xfId="0" applyFont="1" applyBorder="1" applyAlignment="1">
      <alignment horizontal="center" vertical="center"/>
    </xf>
    <xf numFmtId="0" fontId="8" fillId="0" borderId="59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50" xfId="0" applyFont="1" applyBorder="1" applyAlignment="1">
      <alignment horizontal="center" vertical="center"/>
    </xf>
    <xf numFmtId="0" fontId="8" fillId="0" borderId="65" xfId="0" applyFont="1" applyBorder="1" applyAlignment="1">
      <alignment horizontal="center" vertical="center"/>
    </xf>
    <xf numFmtId="0" fontId="8" fillId="0" borderId="62" xfId="0" applyFont="1" applyBorder="1" applyAlignment="1">
      <alignment horizontal="center" vertical="center"/>
    </xf>
    <xf numFmtId="0" fontId="3" fillId="14" borderId="36" xfId="0" applyFont="1" applyFill="1" applyBorder="1" applyAlignment="1">
      <alignment horizontal="center" vertical="center"/>
    </xf>
    <xf numFmtId="0" fontId="17" fillId="15" borderId="67" xfId="0" applyFont="1" applyFill="1" applyBorder="1" applyAlignment="1">
      <alignment horizontal="center" vertical="center" wrapText="1"/>
    </xf>
    <xf numFmtId="0" fontId="17" fillId="15" borderId="70" xfId="0" applyFont="1" applyFill="1" applyBorder="1" applyAlignment="1">
      <alignment horizontal="center" vertical="center"/>
    </xf>
    <xf numFmtId="0" fontId="17" fillId="15" borderId="70" xfId="0" applyFont="1" applyFill="1" applyBorder="1" applyAlignment="1">
      <alignment horizontal="center" vertical="center" wrapText="1"/>
    </xf>
    <xf numFmtId="0" fontId="17" fillId="15" borderId="67" xfId="0" applyFont="1" applyFill="1" applyBorder="1" applyAlignment="1">
      <alignment horizontal="center" vertical="center"/>
    </xf>
    <xf numFmtId="0" fontId="18" fillId="14" borderId="71" xfId="0" applyFont="1" applyFill="1" applyBorder="1" applyAlignment="1">
      <alignment horizontal="center" vertical="center"/>
    </xf>
    <xf numFmtId="0" fontId="19" fillId="15" borderId="6" xfId="0" applyFont="1" applyFill="1" applyBorder="1" applyAlignment="1">
      <alignment horizontal="center" vertical="center" wrapText="1"/>
    </xf>
    <xf numFmtId="0" fontId="19" fillId="15" borderId="6" xfId="0" applyFont="1" applyFill="1" applyBorder="1" applyAlignment="1">
      <alignment horizontal="center" vertical="center"/>
    </xf>
    <xf numFmtId="0" fontId="17" fillId="15" borderId="6" xfId="0" applyFont="1" applyFill="1" applyBorder="1" applyAlignment="1">
      <alignment horizontal="center" vertical="center" shrinkToFit="1"/>
    </xf>
    <xf numFmtId="0" fontId="17" fillId="16" borderId="6" xfId="0" applyFont="1" applyFill="1" applyBorder="1" applyAlignment="1">
      <alignment horizontal="center" vertical="center"/>
    </xf>
    <xf numFmtId="0" fontId="18" fillId="4" borderId="6" xfId="0" applyFont="1" applyFill="1" applyBorder="1" applyAlignment="1">
      <alignment horizontal="center" vertical="center"/>
    </xf>
    <xf numFmtId="0" fontId="18" fillId="17" borderId="6" xfId="0" applyFont="1" applyFill="1" applyBorder="1" applyAlignment="1">
      <alignment horizontal="center" vertical="center"/>
    </xf>
    <xf numFmtId="0" fontId="18" fillId="16" borderId="6" xfId="0" applyFont="1" applyFill="1" applyBorder="1" applyAlignment="1">
      <alignment horizontal="center" vertical="center"/>
    </xf>
    <xf numFmtId="0" fontId="18" fillId="0" borderId="77" xfId="0" applyFont="1" applyBorder="1" applyAlignment="1">
      <alignment horizontal="center" vertical="center"/>
    </xf>
    <xf numFmtId="0" fontId="18" fillId="19" borderId="75" xfId="0" applyFont="1" applyFill="1" applyBorder="1" applyAlignment="1">
      <alignment horizontal="center" vertical="center"/>
    </xf>
    <xf numFmtId="0" fontId="8" fillId="0" borderId="78" xfId="0" applyFont="1" applyBorder="1" applyAlignment="1">
      <alignment horizontal="center" vertical="center" wrapText="1"/>
    </xf>
    <xf numFmtId="0" fontId="15" fillId="6" borderId="80" xfId="0" applyFont="1" applyFill="1" applyBorder="1" applyAlignment="1">
      <alignment horizontal="center" vertical="center"/>
    </xf>
    <xf numFmtId="0" fontId="15" fillId="6" borderId="48" xfId="0" applyFont="1" applyFill="1" applyBorder="1" applyAlignment="1">
      <alignment horizontal="center" vertical="center"/>
    </xf>
    <xf numFmtId="0" fontId="15" fillId="6" borderId="49" xfId="0" applyFont="1" applyFill="1" applyBorder="1" applyAlignment="1">
      <alignment horizontal="center" vertical="center"/>
    </xf>
    <xf numFmtId="0" fontId="15" fillId="6" borderId="81" xfId="0" applyFont="1" applyFill="1" applyBorder="1" applyAlignment="1">
      <alignment horizontal="center" vertical="center"/>
    </xf>
    <xf numFmtId="0" fontId="15" fillId="6" borderId="51" xfId="0" applyFont="1" applyFill="1" applyBorder="1" applyAlignment="1">
      <alignment horizontal="center" vertical="center"/>
    </xf>
    <xf numFmtId="0" fontId="15" fillId="6" borderId="52" xfId="0" applyFont="1" applyFill="1" applyBorder="1" applyAlignment="1">
      <alignment horizontal="center" vertical="center"/>
    </xf>
    <xf numFmtId="0" fontId="15" fillId="6" borderId="53" xfId="0" applyFont="1" applyFill="1" applyBorder="1" applyAlignment="1">
      <alignment horizontal="center" vertical="center"/>
    </xf>
    <xf numFmtId="0" fontId="15" fillId="6" borderId="82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43" xfId="0" applyBorder="1" applyAlignment="1">
      <alignment vertical="center"/>
    </xf>
    <xf numFmtId="0" fontId="0" fillId="0" borderId="23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37" xfId="0" applyBorder="1" applyAlignment="1">
      <alignment vertical="center"/>
    </xf>
    <xf numFmtId="0" fontId="0" fillId="0" borderId="39" xfId="0" applyBorder="1" applyAlignment="1">
      <alignment vertical="center"/>
    </xf>
    <xf numFmtId="0" fontId="0" fillId="0" borderId="41" xfId="0" applyBorder="1" applyAlignment="1">
      <alignment vertical="center"/>
    </xf>
    <xf numFmtId="0" fontId="0" fillId="0" borderId="45" xfId="0" applyBorder="1" applyAlignment="1">
      <alignment vertical="center"/>
    </xf>
    <xf numFmtId="0" fontId="0" fillId="0" borderId="48" xfId="0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46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51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55" xfId="0" applyBorder="1" applyAlignment="1">
      <alignment vertical="center"/>
    </xf>
    <xf numFmtId="0" fontId="0" fillId="0" borderId="56" xfId="0" applyBorder="1" applyAlignment="1">
      <alignment vertical="center"/>
    </xf>
    <xf numFmtId="0" fontId="0" fillId="0" borderId="25" xfId="0" applyBorder="1" applyAlignment="1">
      <alignment vertical="center"/>
    </xf>
    <xf numFmtId="0" fontId="0" fillId="0" borderId="53" xfId="0" applyBorder="1" applyAlignment="1">
      <alignment vertical="center"/>
    </xf>
    <xf numFmtId="0" fontId="0" fillId="0" borderId="21" xfId="0" applyBorder="1" applyAlignment="1">
      <alignment vertical="center"/>
    </xf>
    <xf numFmtId="0" fontId="0" fillId="0" borderId="60" xfId="0" applyBorder="1" applyAlignment="1">
      <alignment vertical="center"/>
    </xf>
    <xf numFmtId="0" fontId="0" fillId="0" borderId="61" xfId="0" applyBorder="1" applyAlignment="1">
      <alignment vertical="center"/>
    </xf>
    <xf numFmtId="0" fontId="0" fillId="0" borderId="62" xfId="0" applyBorder="1" applyAlignment="1">
      <alignment vertical="center"/>
    </xf>
    <xf numFmtId="0" fontId="0" fillId="0" borderId="63" xfId="0" applyBorder="1" applyAlignment="1">
      <alignment vertical="center"/>
    </xf>
    <xf numFmtId="0" fontId="0" fillId="0" borderId="64" xfId="0" applyBorder="1" applyAlignment="1">
      <alignment vertical="center"/>
    </xf>
    <xf numFmtId="0" fontId="0" fillId="0" borderId="66" xfId="0" applyBorder="1" applyAlignment="1">
      <alignment vertical="center"/>
    </xf>
    <xf numFmtId="0" fontId="0" fillId="0" borderId="16" xfId="0" applyBorder="1" applyAlignment="1">
      <alignment vertical="center"/>
    </xf>
    <xf numFmtId="0" fontId="16" fillId="0" borderId="68" xfId="0" applyFont="1" applyBorder="1" applyAlignment="1">
      <alignment vertical="center"/>
    </xf>
    <xf numFmtId="0" fontId="16" fillId="0" borderId="69" xfId="0" applyFont="1" applyBorder="1" applyAlignment="1">
      <alignment vertical="center"/>
    </xf>
    <xf numFmtId="0" fontId="16" fillId="0" borderId="43" xfId="0" applyFont="1" applyBorder="1" applyAlignment="1">
      <alignment vertical="center"/>
    </xf>
    <xf numFmtId="0" fontId="16" fillId="0" borderId="60" xfId="0" applyFont="1" applyBorder="1" applyAlignment="1">
      <alignment vertical="center"/>
    </xf>
    <xf numFmtId="0" fontId="0" fillId="0" borderId="44" xfId="0" applyBorder="1" applyAlignment="1">
      <alignment vertical="center"/>
    </xf>
    <xf numFmtId="0" fontId="16" fillId="0" borderId="14" xfId="0" applyFont="1" applyBorder="1" applyAlignment="1">
      <alignment vertical="center"/>
    </xf>
    <xf numFmtId="0" fontId="16" fillId="0" borderId="49" xfId="0" applyFont="1" applyBorder="1" applyAlignment="1">
      <alignment vertical="center"/>
    </xf>
    <xf numFmtId="0" fontId="16" fillId="0" borderId="48" xfId="0" applyFont="1" applyBorder="1" applyAlignment="1">
      <alignment vertical="center"/>
    </xf>
    <xf numFmtId="0" fontId="16" fillId="0" borderId="8" xfId="0" applyFont="1" applyBorder="1" applyAlignment="1">
      <alignment vertical="center"/>
    </xf>
    <xf numFmtId="0" fontId="16" fillId="0" borderId="74" xfId="0" applyFont="1" applyBorder="1" applyAlignment="1">
      <alignment vertical="center"/>
    </xf>
    <xf numFmtId="0" fontId="20" fillId="0" borderId="74" xfId="0" applyFont="1" applyBorder="1" applyAlignment="1">
      <alignment vertical="center"/>
    </xf>
    <xf numFmtId="0" fontId="0" fillId="0" borderId="72" xfId="0" applyBorder="1" applyAlignment="1">
      <alignment vertical="center"/>
    </xf>
    <xf numFmtId="0" fontId="0" fillId="0" borderId="73" xfId="0" applyBorder="1" applyAlignment="1">
      <alignment vertical="center"/>
    </xf>
    <xf numFmtId="0" fontId="16" fillId="0" borderId="51" xfId="0" applyFont="1" applyBorder="1" applyAlignment="1">
      <alignment vertical="center"/>
    </xf>
    <xf numFmtId="0" fontId="0" fillId="0" borderId="74" xfId="0" applyBorder="1" applyAlignment="1">
      <alignment vertical="center"/>
    </xf>
    <xf numFmtId="0" fontId="0" fillId="18" borderId="51" xfId="0" applyFill="1" applyBorder="1" applyAlignment="1">
      <alignment vertical="center"/>
    </xf>
    <xf numFmtId="0" fontId="0" fillId="18" borderId="74" xfId="0" applyFill="1" applyBorder="1" applyAlignment="1">
      <alignment vertical="center"/>
    </xf>
    <xf numFmtId="0" fontId="0" fillId="0" borderId="76" xfId="0" applyBorder="1" applyAlignment="1">
      <alignment vertical="center"/>
    </xf>
    <xf numFmtId="0" fontId="0" fillId="0" borderId="79" xfId="0" applyBorder="1" applyAlignment="1">
      <alignment vertical="center"/>
    </xf>
    <xf numFmtId="0" fontId="16" fillId="0" borderId="83" xfId="0" applyFont="1" applyBorder="1" applyAlignment="1">
      <alignment vertical="center"/>
    </xf>
    <xf numFmtId="0" fontId="16" fillId="0" borderId="30" xfId="0" applyFont="1" applyBorder="1" applyAlignment="1">
      <alignment vertical="center"/>
    </xf>
  </cellXfs>
  <cellStyles count="2">
    <cellStyle name="표준" xfId="0" builtinId="0"/>
    <cellStyle name="표준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315F97"/>
      </a:accent1>
      <a:accent2>
        <a:srgbClr val="C75252"/>
      </a:accent2>
      <a:accent3>
        <a:srgbClr val="E9AE2B"/>
      </a:accent3>
      <a:accent4>
        <a:srgbClr val="699B37"/>
      </a:accent4>
      <a:accent5>
        <a:srgbClr val="358791"/>
      </a:accent5>
      <a:accent6>
        <a:srgbClr val="CA56A7"/>
      </a:accent6>
      <a:hlink>
        <a:srgbClr val="0000FF"/>
      </a:hlink>
      <a:folHlink>
        <a:srgbClr val="0000FF"/>
      </a:folHlink>
    </a:clrScheme>
    <a:fontScheme name="Sheets">
      <a:majorFont>
        <a:latin typeface="HNC_GO_B_HINT_GS"/>
        <a:ea typeface="HNC_GO_B_HINT_GS"/>
        <a:cs typeface="HNC_GO_B_HINT_GS"/>
      </a:majorFont>
      <a:minorFont>
        <a:latin typeface="HNC_GO_B_HINT_GS"/>
        <a:ea typeface="HNC_GO_B_HINT_GS"/>
        <a:cs typeface="HNC_GO_B_HINT_GS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2">
    <pageSetUpPr fitToPage="1"/>
  </sheetPr>
  <dimension ref="A1:BP999"/>
  <sheetViews>
    <sheetView zoomScale="70" zoomScaleNormal="70" zoomScaleSheetLayoutView="70" workbookViewId="0">
      <pane xSplit="4" ySplit="4" topLeftCell="E5" activePane="bottomRight" state="frozen"/>
      <selection pane="bottomRight" sqref="A1:AN1"/>
      <selection pane="bottomLeft"/>
      <selection pane="topRight"/>
    </sheetView>
  </sheetViews>
  <sheetFormatPr defaultColWidth="12.625" defaultRowHeight="15" customHeight="1"/>
  <cols>
    <col min="1" max="2" width="3.25" customWidth="1"/>
    <col min="3" max="3" width="16.125" bestFit="1" customWidth="1"/>
    <col min="4" max="4" width="6" customWidth="1"/>
    <col min="5" max="39" width="4.5" customWidth="1"/>
    <col min="40" max="40" width="6.125" bestFit="1" customWidth="1"/>
    <col min="41" max="41" width="5.125" customWidth="1"/>
    <col min="42" max="43" width="4.25" customWidth="1"/>
    <col min="44" max="44" width="4.875" bestFit="1" customWidth="1"/>
    <col min="45" max="45" width="3.5" customWidth="1"/>
    <col min="46" max="46" width="4.25" customWidth="1"/>
    <col min="47" max="47" width="4.375" bestFit="1" customWidth="1"/>
    <col min="48" max="48" width="3.875" customWidth="1"/>
    <col min="49" max="49" width="3.5" customWidth="1"/>
    <col min="50" max="50" width="4.875" bestFit="1" customWidth="1"/>
    <col min="51" max="51" width="3.5" customWidth="1"/>
    <col min="52" max="52" width="4.375" customWidth="1"/>
    <col min="53" max="54" width="4" customWidth="1"/>
    <col min="55" max="59" width="7.625" customWidth="1"/>
  </cols>
  <sheetData>
    <row r="1" spans="1:60" ht="28.5" customHeight="1">
      <c r="A1" s="115" t="s">
        <v>0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15"/>
      <c r="AM1" s="115"/>
      <c r="AN1" s="115"/>
      <c r="AO1" s="1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3"/>
      <c r="BB1" s="3"/>
      <c r="BC1" s="3"/>
      <c r="BD1" s="3"/>
      <c r="BE1" s="3"/>
      <c r="BF1" s="3"/>
      <c r="BG1" s="3"/>
    </row>
    <row r="2" spans="1:60" ht="20.25" customHeight="1">
      <c r="A2" s="4"/>
      <c r="B2" s="116" t="s">
        <v>1</v>
      </c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6"/>
      <c r="AA2" s="7"/>
      <c r="AB2" s="7"/>
      <c r="AC2" s="7"/>
      <c r="AD2" s="7"/>
      <c r="AE2" s="7"/>
      <c r="AF2" s="7"/>
      <c r="AG2" s="7"/>
      <c r="AH2" s="7"/>
      <c r="AI2" s="117" t="s">
        <v>2</v>
      </c>
      <c r="AJ2" s="117"/>
      <c r="AK2" s="117"/>
      <c r="AL2" s="117"/>
      <c r="AM2" s="117"/>
      <c r="AN2" s="117"/>
      <c r="AO2" s="5"/>
      <c r="AP2" s="8"/>
      <c r="AQ2" s="8"/>
      <c r="AR2" s="8"/>
      <c r="AS2" s="118"/>
      <c r="AT2" s="118"/>
      <c r="AU2" s="9"/>
      <c r="AV2" s="9"/>
      <c r="AW2" s="9"/>
      <c r="AX2" s="119"/>
      <c r="AY2" s="175"/>
      <c r="AZ2" s="175"/>
      <c r="BA2" s="120"/>
      <c r="BB2" s="175"/>
      <c r="BC2" s="6"/>
      <c r="BD2" s="6"/>
      <c r="BE2" s="6"/>
      <c r="BF2" s="6"/>
      <c r="BG2" s="6"/>
    </row>
    <row r="3" spans="1:60" ht="24" customHeight="1">
      <c r="A3" s="121" t="s">
        <v>3</v>
      </c>
      <c r="B3" s="122" t="s">
        <v>4</v>
      </c>
      <c r="C3" s="122" t="s">
        <v>5</v>
      </c>
      <c r="D3" s="123" t="s">
        <v>6</v>
      </c>
      <c r="E3" s="124" t="s">
        <v>7</v>
      </c>
      <c r="F3" s="176"/>
      <c r="G3" s="176"/>
      <c r="H3" s="176"/>
      <c r="I3" s="176"/>
      <c r="J3" s="176"/>
      <c r="K3" s="177"/>
      <c r="L3" s="124" t="s">
        <v>8</v>
      </c>
      <c r="M3" s="176"/>
      <c r="N3" s="176"/>
      <c r="O3" s="176"/>
      <c r="P3" s="176"/>
      <c r="Q3" s="176"/>
      <c r="R3" s="177"/>
      <c r="S3" s="124" t="s">
        <v>9</v>
      </c>
      <c r="T3" s="176"/>
      <c r="U3" s="176"/>
      <c r="V3" s="176"/>
      <c r="W3" s="176"/>
      <c r="X3" s="176"/>
      <c r="Y3" s="177"/>
      <c r="Z3" s="124" t="s">
        <v>10</v>
      </c>
      <c r="AA3" s="176"/>
      <c r="AB3" s="176"/>
      <c r="AC3" s="176"/>
      <c r="AD3" s="176"/>
      <c r="AE3" s="176"/>
      <c r="AF3" s="177"/>
      <c r="AG3" s="124" t="s">
        <v>11</v>
      </c>
      <c r="AH3" s="176"/>
      <c r="AI3" s="176"/>
      <c r="AJ3" s="176"/>
      <c r="AK3" s="176"/>
      <c r="AL3" s="176"/>
      <c r="AM3" s="177"/>
      <c r="AN3" s="125" t="s">
        <v>12</v>
      </c>
      <c r="AO3" s="126"/>
      <c r="AP3" s="10"/>
      <c r="AQ3" s="10"/>
      <c r="AR3" s="10"/>
      <c r="AS3" s="10"/>
      <c r="AT3" s="10"/>
      <c r="AU3" s="10"/>
      <c r="AV3" s="10"/>
      <c r="AW3" s="12"/>
      <c r="AX3" s="127" t="s">
        <v>13</v>
      </c>
      <c r="AY3" s="178"/>
      <c r="AZ3" s="178"/>
      <c r="BA3" s="128" t="s">
        <v>14</v>
      </c>
      <c r="BB3" s="178"/>
      <c r="BC3" s="12"/>
      <c r="BD3" s="12"/>
      <c r="BE3" s="12"/>
      <c r="BF3" s="12"/>
      <c r="BG3" s="12"/>
    </row>
    <row r="4" spans="1:60" ht="24" customHeight="1">
      <c r="A4" s="179"/>
      <c r="B4" s="180"/>
      <c r="C4" s="180"/>
      <c r="D4" s="181"/>
      <c r="E4" s="46">
        <v>1</v>
      </c>
      <c r="F4" s="47">
        <v>2</v>
      </c>
      <c r="G4" s="47">
        <v>3</v>
      </c>
      <c r="H4" s="47">
        <v>4</v>
      </c>
      <c r="I4" s="47">
        <v>5</v>
      </c>
      <c r="J4" s="47">
        <v>6</v>
      </c>
      <c r="K4" s="48">
        <v>7</v>
      </c>
      <c r="L4" s="46">
        <v>1</v>
      </c>
      <c r="M4" s="47">
        <v>2</v>
      </c>
      <c r="N4" s="47">
        <v>3</v>
      </c>
      <c r="O4" s="47">
        <v>4</v>
      </c>
      <c r="P4" s="47">
        <v>5</v>
      </c>
      <c r="Q4" s="47">
        <v>6</v>
      </c>
      <c r="R4" s="48">
        <v>7</v>
      </c>
      <c r="S4" s="46">
        <v>1</v>
      </c>
      <c r="T4" s="47">
        <v>2</v>
      </c>
      <c r="U4" s="47">
        <v>3</v>
      </c>
      <c r="V4" s="47">
        <v>4</v>
      </c>
      <c r="W4" s="47">
        <v>5</v>
      </c>
      <c r="X4" s="47">
        <v>6</v>
      </c>
      <c r="Y4" s="48">
        <v>7</v>
      </c>
      <c r="Z4" s="46">
        <v>1</v>
      </c>
      <c r="AA4" s="47">
        <v>2</v>
      </c>
      <c r="AB4" s="47">
        <v>3</v>
      </c>
      <c r="AC4" s="47">
        <v>4</v>
      </c>
      <c r="AD4" s="47">
        <v>5</v>
      </c>
      <c r="AE4" s="47">
        <v>6</v>
      </c>
      <c r="AF4" s="48">
        <v>7</v>
      </c>
      <c r="AG4" s="46">
        <v>1</v>
      </c>
      <c r="AH4" s="47">
        <v>2</v>
      </c>
      <c r="AI4" s="47">
        <v>3</v>
      </c>
      <c r="AJ4" s="47">
        <v>4</v>
      </c>
      <c r="AK4" s="47">
        <v>5</v>
      </c>
      <c r="AL4" s="47">
        <v>6</v>
      </c>
      <c r="AM4" s="48">
        <v>7</v>
      </c>
      <c r="AN4" s="182"/>
      <c r="AO4" s="126"/>
      <c r="AP4" s="14" t="s">
        <v>15</v>
      </c>
      <c r="AQ4" s="14" t="s">
        <v>16</v>
      </c>
      <c r="AR4" s="14" t="s">
        <v>17</v>
      </c>
      <c r="AS4" s="14" t="s">
        <v>18</v>
      </c>
      <c r="AT4" s="14" t="s">
        <v>19</v>
      </c>
      <c r="AU4" s="14" t="s">
        <v>20</v>
      </c>
      <c r="AV4" s="34" t="s">
        <v>21</v>
      </c>
      <c r="AW4" s="36" t="s">
        <v>22</v>
      </c>
      <c r="AX4" s="37" t="s">
        <v>23</v>
      </c>
      <c r="AY4" s="35" t="s">
        <v>24</v>
      </c>
      <c r="AZ4" s="35" t="s">
        <v>25</v>
      </c>
      <c r="BA4" s="35" t="s">
        <v>26</v>
      </c>
      <c r="BB4" s="35" t="s">
        <v>27</v>
      </c>
      <c r="BC4" s="15" t="s">
        <v>28</v>
      </c>
      <c r="BD4" s="12"/>
      <c r="BE4" s="12"/>
      <c r="BF4" s="12"/>
      <c r="BG4" s="12"/>
      <c r="BH4" s="12"/>
    </row>
    <row r="5" spans="1:60" ht="28.5" customHeight="1">
      <c r="A5" s="129">
        <v>3</v>
      </c>
      <c r="B5" s="49">
        <v>1</v>
      </c>
      <c r="C5" s="49" t="s">
        <v>29</v>
      </c>
      <c r="D5" s="50">
        <v>4</v>
      </c>
      <c r="E5" s="130" t="s">
        <v>30</v>
      </c>
      <c r="F5" s="183"/>
      <c r="G5" s="183"/>
      <c r="H5" s="183"/>
      <c r="I5" s="183"/>
      <c r="J5" s="183"/>
      <c r="K5" s="184"/>
      <c r="L5" s="78" t="s">
        <v>26</v>
      </c>
      <c r="M5" s="16" t="s">
        <v>17</v>
      </c>
      <c r="N5" s="76" t="s">
        <v>23</v>
      </c>
      <c r="O5" s="131" t="s">
        <v>31</v>
      </c>
      <c r="P5" s="132"/>
      <c r="Q5" s="132"/>
      <c r="R5" s="133"/>
      <c r="S5" s="41" t="s">
        <v>17</v>
      </c>
      <c r="T5" s="76" t="s">
        <v>23</v>
      </c>
      <c r="U5" s="16" t="s">
        <v>16</v>
      </c>
      <c r="V5" s="16" t="s">
        <v>18</v>
      </c>
      <c r="W5" s="16" t="s">
        <v>20</v>
      </c>
      <c r="X5" s="29"/>
      <c r="Y5" s="52"/>
      <c r="Z5" s="41" t="s">
        <v>23</v>
      </c>
      <c r="AA5" s="76" t="s">
        <v>22</v>
      </c>
      <c r="AB5" s="16" t="s">
        <v>15</v>
      </c>
      <c r="AC5" s="16" t="s">
        <v>20</v>
      </c>
      <c r="AD5" s="16" t="s">
        <v>27</v>
      </c>
      <c r="AE5" s="29"/>
      <c r="AF5" s="52"/>
      <c r="AG5" s="41" t="s">
        <v>23</v>
      </c>
      <c r="AH5" s="16" t="s">
        <v>22</v>
      </c>
      <c r="AI5" s="16" t="s">
        <v>22</v>
      </c>
      <c r="AJ5" s="16" t="s">
        <v>15</v>
      </c>
      <c r="AK5" s="16" t="s">
        <v>21</v>
      </c>
      <c r="AL5" s="16" t="s">
        <v>18</v>
      </c>
      <c r="AM5" s="43" t="s">
        <v>23</v>
      </c>
      <c r="AN5" s="54"/>
      <c r="AO5" s="18"/>
      <c r="AP5" s="19">
        <f t="shared" ref="AP5:AP25" si="0">COUNTIF(E5:AM5,"=국")</f>
        <v>2</v>
      </c>
      <c r="AQ5" s="19">
        <f t="shared" ref="AQ5:AQ25" si="1">COUNTIF(E5:AM5,"=수")</f>
        <v>1</v>
      </c>
      <c r="AR5" s="19">
        <f t="shared" ref="AR5:AR25" si="2">COUNTIF(E5:AM5,"=사")</f>
        <v>2</v>
      </c>
      <c r="AS5" s="19">
        <f t="shared" ref="AS5:AS25" si="3">COUNTIF(E5:AM5,"=과")</f>
        <v>2</v>
      </c>
      <c r="AT5" s="19">
        <f>COUNTIF(E5:AM5,"=실")</f>
        <v>0</v>
      </c>
      <c r="AU5" s="19">
        <f>COUNTIF(E5:AN5,"=체")</f>
        <v>2</v>
      </c>
      <c r="AV5" s="19">
        <f>COUNTIF(E5:AM5,"=음")</f>
        <v>1</v>
      </c>
      <c r="AW5" s="38">
        <f t="shared" ref="AW5:AW25" si="4">COUNTIF(E5:AM5,"=미")</f>
        <v>3</v>
      </c>
      <c r="AX5" s="19">
        <f t="shared" ref="AX5:AX25" si="5">COUNTIF(E5:AM5,"=자")</f>
        <v>5</v>
      </c>
      <c r="AY5" s="19">
        <f t="shared" ref="AY5:AY25" si="6">COUNTIF(E5:AM5,"=동")</f>
        <v>0</v>
      </c>
      <c r="AZ5" s="19">
        <f t="shared" ref="AZ5:AZ25" si="7">COUNTIF(E5:AM5,"=진")</f>
        <v>0</v>
      </c>
      <c r="BA5" s="19">
        <f t="shared" ref="BA5:BA25" si="8">COUNTIF(E5:AM5,"=의")</f>
        <v>1</v>
      </c>
      <c r="BB5" s="19">
        <f t="shared" ref="BB5:BB25" si="9">COUNTIF(E5:AM5,"=선")</f>
        <v>1</v>
      </c>
      <c r="BC5" s="15">
        <f t="shared" ref="BC5:BC26" si="10">SUM(AP5:BB5)</f>
        <v>20</v>
      </c>
      <c r="BD5" s="12"/>
      <c r="BE5" s="12"/>
      <c r="BF5" s="12"/>
      <c r="BG5" s="12"/>
      <c r="BH5" s="12"/>
    </row>
    <row r="6" spans="1:60" ht="28.5" customHeight="1">
      <c r="A6" s="185"/>
      <c r="B6" s="13">
        <v>2</v>
      </c>
      <c r="C6" s="13" t="s">
        <v>32</v>
      </c>
      <c r="D6" s="40">
        <v>5</v>
      </c>
      <c r="E6" s="41" t="s">
        <v>26</v>
      </c>
      <c r="F6" s="16" t="s">
        <v>23</v>
      </c>
      <c r="G6" s="16" t="s">
        <v>17</v>
      </c>
      <c r="H6" s="16" t="s">
        <v>15</v>
      </c>
      <c r="I6" s="16" t="s">
        <v>16</v>
      </c>
      <c r="J6" s="17"/>
      <c r="K6" s="42"/>
      <c r="L6" s="78" t="s">
        <v>26</v>
      </c>
      <c r="M6" s="16" t="s">
        <v>17</v>
      </c>
      <c r="N6" s="76" t="s">
        <v>23</v>
      </c>
      <c r="O6" s="16" t="s">
        <v>27</v>
      </c>
      <c r="P6" s="16" t="s">
        <v>26</v>
      </c>
      <c r="Q6" s="76" t="s">
        <v>23</v>
      </c>
      <c r="R6" s="79" t="s">
        <v>23</v>
      </c>
      <c r="S6" s="41" t="s">
        <v>17</v>
      </c>
      <c r="T6" s="76" t="s">
        <v>23</v>
      </c>
      <c r="U6" s="16" t="s">
        <v>16</v>
      </c>
      <c r="V6" s="16" t="s">
        <v>18</v>
      </c>
      <c r="W6" s="16" t="s">
        <v>20</v>
      </c>
      <c r="X6" s="17"/>
      <c r="Y6" s="42"/>
      <c r="Z6" s="41" t="s">
        <v>23</v>
      </c>
      <c r="AA6" s="76" t="s">
        <v>22</v>
      </c>
      <c r="AB6" s="16" t="s">
        <v>15</v>
      </c>
      <c r="AC6" s="16" t="s">
        <v>20</v>
      </c>
      <c r="AD6" s="16" t="s">
        <v>27</v>
      </c>
      <c r="AE6" s="17"/>
      <c r="AF6" s="42"/>
      <c r="AG6" s="41" t="s">
        <v>23</v>
      </c>
      <c r="AH6" s="16" t="s">
        <v>22</v>
      </c>
      <c r="AI6" s="16" t="s">
        <v>22</v>
      </c>
      <c r="AJ6" s="16" t="s">
        <v>15</v>
      </c>
      <c r="AK6" s="16" t="s">
        <v>21</v>
      </c>
      <c r="AL6" s="16" t="s">
        <v>18</v>
      </c>
      <c r="AM6" s="43" t="s">
        <v>23</v>
      </c>
      <c r="AN6" s="44"/>
      <c r="AO6" s="18"/>
      <c r="AP6" s="19">
        <f t="shared" si="0"/>
        <v>3</v>
      </c>
      <c r="AQ6" s="19">
        <f t="shared" si="1"/>
        <v>2</v>
      </c>
      <c r="AR6" s="19">
        <f t="shared" si="2"/>
        <v>3</v>
      </c>
      <c r="AS6" s="19">
        <f t="shared" si="3"/>
        <v>2</v>
      </c>
      <c r="AT6" s="19">
        <f>COUNTIF(E6:AM6,"=실")</f>
        <v>0</v>
      </c>
      <c r="AU6" s="19">
        <f t="shared" ref="AU6:AU25" si="11">COUNTIF(E6:AN6,"=체")</f>
        <v>2</v>
      </c>
      <c r="AV6" s="19">
        <f t="shared" ref="AV6:AV25" si="12">COUNTIF(E6:AM6,"=음")</f>
        <v>1</v>
      </c>
      <c r="AW6" s="19">
        <f t="shared" si="4"/>
        <v>3</v>
      </c>
      <c r="AX6" s="19">
        <f t="shared" si="5"/>
        <v>8</v>
      </c>
      <c r="AY6" s="19">
        <f t="shared" si="6"/>
        <v>0</v>
      </c>
      <c r="AZ6" s="19">
        <f t="shared" si="7"/>
        <v>0</v>
      </c>
      <c r="BA6" s="19">
        <f t="shared" si="8"/>
        <v>3</v>
      </c>
      <c r="BB6" s="19">
        <f t="shared" si="9"/>
        <v>2</v>
      </c>
      <c r="BC6" s="15">
        <f t="shared" si="10"/>
        <v>29</v>
      </c>
      <c r="BD6" s="12"/>
      <c r="BE6" s="12"/>
      <c r="BF6" s="12"/>
      <c r="BG6" s="12"/>
      <c r="BH6" s="12"/>
    </row>
    <row r="7" spans="1:60" ht="28.5" customHeight="1">
      <c r="A7" s="185"/>
      <c r="B7" s="13">
        <v>3</v>
      </c>
      <c r="C7" s="13" t="s">
        <v>33</v>
      </c>
      <c r="D7" s="40">
        <v>5</v>
      </c>
      <c r="E7" s="41" t="s">
        <v>26</v>
      </c>
      <c r="F7" s="16" t="s">
        <v>23</v>
      </c>
      <c r="G7" s="16" t="s">
        <v>17</v>
      </c>
      <c r="H7" s="16" t="s">
        <v>15</v>
      </c>
      <c r="I7" s="16" t="s">
        <v>16</v>
      </c>
      <c r="J7" s="17"/>
      <c r="K7" s="42"/>
      <c r="L7" s="78" t="s">
        <v>26</v>
      </c>
      <c r="M7" s="16" t="s">
        <v>17</v>
      </c>
      <c r="N7" s="76" t="s">
        <v>23</v>
      </c>
      <c r="O7" s="16" t="s">
        <v>27</v>
      </c>
      <c r="P7" s="16" t="s">
        <v>26</v>
      </c>
      <c r="Q7" s="16" t="s">
        <v>19</v>
      </c>
      <c r="R7" s="43" t="s">
        <v>19</v>
      </c>
      <c r="S7" s="41" t="s">
        <v>17</v>
      </c>
      <c r="T7" s="76" t="s">
        <v>23</v>
      </c>
      <c r="U7" s="16" t="s">
        <v>16</v>
      </c>
      <c r="V7" s="16" t="s">
        <v>18</v>
      </c>
      <c r="W7" s="16" t="s">
        <v>20</v>
      </c>
      <c r="X7" s="17"/>
      <c r="Y7" s="42"/>
      <c r="Z7" s="41" t="s">
        <v>23</v>
      </c>
      <c r="AA7" s="16" t="s">
        <v>24</v>
      </c>
      <c r="AB7" s="16" t="s">
        <v>15</v>
      </c>
      <c r="AC7" s="16" t="s">
        <v>20</v>
      </c>
      <c r="AD7" s="16" t="s">
        <v>27</v>
      </c>
      <c r="AE7" s="17"/>
      <c r="AF7" s="42"/>
      <c r="AG7" s="41" t="s">
        <v>23</v>
      </c>
      <c r="AH7" s="16" t="s">
        <v>22</v>
      </c>
      <c r="AI7" s="16" t="s">
        <v>22</v>
      </c>
      <c r="AJ7" s="16" t="s">
        <v>15</v>
      </c>
      <c r="AK7" s="16" t="s">
        <v>21</v>
      </c>
      <c r="AL7" s="16" t="s">
        <v>18</v>
      </c>
      <c r="AM7" s="43" t="s">
        <v>23</v>
      </c>
      <c r="AN7" s="44"/>
      <c r="AO7" s="18"/>
      <c r="AP7" s="19">
        <f t="shared" si="0"/>
        <v>3</v>
      </c>
      <c r="AQ7" s="19">
        <f t="shared" si="1"/>
        <v>2</v>
      </c>
      <c r="AR7" s="19">
        <f t="shared" si="2"/>
        <v>3</v>
      </c>
      <c r="AS7" s="19">
        <f t="shared" si="3"/>
        <v>2</v>
      </c>
      <c r="AT7" s="19">
        <f t="shared" ref="AT7:AT25" si="13">COUNTIF(E7:AM7,"=실")</f>
        <v>2</v>
      </c>
      <c r="AU7" s="19">
        <f t="shared" si="11"/>
        <v>2</v>
      </c>
      <c r="AV7" s="19">
        <f t="shared" si="12"/>
        <v>1</v>
      </c>
      <c r="AW7" s="19">
        <f t="shared" si="4"/>
        <v>2</v>
      </c>
      <c r="AX7" s="19">
        <f t="shared" si="5"/>
        <v>6</v>
      </c>
      <c r="AY7" s="19">
        <f t="shared" si="6"/>
        <v>1</v>
      </c>
      <c r="AZ7" s="19">
        <f t="shared" si="7"/>
        <v>0</v>
      </c>
      <c r="BA7" s="19">
        <f t="shared" si="8"/>
        <v>3</v>
      </c>
      <c r="BB7" s="19">
        <f t="shared" si="9"/>
        <v>2</v>
      </c>
      <c r="BC7" s="15">
        <f t="shared" si="10"/>
        <v>29</v>
      </c>
      <c r="BD7" s="12"/>
      <c r="BE7" s="12"/>
      <c r="BF7" s="12"/>
      <c r="BG7" s="12"/>
      <c r="BH7" s="12"/>
    </row>
    <row r="8" spans="1:60" ht="28.5" customHeight="1">
      <c r="A8" s="186"/>
      <c r="B8" s="13">
        <v>4</v>
      </c>
      <c r="C8" s="13" t="s">
        <v>34</v>
      </c>
      <c r="D8" s="40">
        <v>5</v>
      </c>
      <c r="E8" s="41" t="s">
        <v>26</v>
      </c>
      <c r="F8" s="16" t="s">
        <v>23</v>
      </c>
      <c r="G8" s="16" t="s">
        <v>17</v>
      </c>
      <c r="H8" s="16" t="s">
        <v>15</v>
      </c>
      <c r="I8" s="16" t="s">
        <v>16</v>
      </c>
      <c r="J8" s="17"/>
      <c r="K8" s="42"/>
      <c r="L8" s="78" t="s">
        <v>26</v>
      </c>
      <c r="M8" s="16" t="s">
        <v>17</v>
      </c>
      <c r="N8" s="76" t="s">
        <v>23</v>
      </c>
      <c r="O8" s="16" t="s">
        <v>27</v>
      </c>
      <c r="P8" s="16" t="s">
        <v>26</v>
      </c>
      <c r="Q8" s="16" t="s">
        <v>19</v>
      </c>
      <c r="R8" s="43" t="s">
        <v>19</v>
      </c>
      <c r="S8" s="41" t="s">
        <v>17</v>
      </c>
      <c r="T8" s="76" t="s">
        <v>23</v>
      </c>
      <c r="U8" s="16" t="s">
        <v>16</v>
      </c>
      <c r="V8" s="16" t="s">
        <v>18</v>
      </c>
      <c r="W8" s="16" t="s">
        <v>20</v>
      </c>
      <c r="X8" s="17"/>
      <c r="Y8" s="42"/>
      <c r="Z8" s="77" t="s">
        <v>25</v>
      </c>
      <c r="AA8" s="16" t="s">
        <v>24</v>
      </c>
      <c r="AB8" s="16" t="s">
        <v>15</v>
      </c>
      <c r="AC8" s="16" t="s">
        <v>20</v>
      </c>
      <c r="AD8" s="16" t="s">
        <v>27</v>
      </c>
      <c r="AE8" s="17"/>
      <c r="AF8" s="42"/>
      <c r="AG8" s="41" t="s">
        <v>23</v>
      </c>
      <c r="AH8" s="16" t="s">
        <v>22</v>
      </c>
      <c r="AI8" s="16" t="s">
        <v>22</v>
      </c>
      <c r="AJ8" s="16" t="s">
        <v>15</v>
      </c>
      <c r="AK8" s="16" t="s">
        <v>21</v>
      </c>
      <c r="AL8" s="16" t="s">
        <v>18</v>
      </c>
      <c r="AM8" s="43" t="s">
        <v>23</v>
      </c>
      <c r="AN8" s="44"/>
      <c r="AO8" s="18"/>
      <c r="AP8" s="19">
        <f t="shared" si="0"/>
        <v>3</v>
      </c>
      <c r="AQ8" s="19">
        <f t="shared" si="1"/>
        <v>2</v>
      </c>
      <c r="AR8" s="19">
        <f t="shared" si="2"/>
        <v>3</v>
      </c>
      <c r="AS8" s="19">
        <f t="shared" si="3"/>
        <v>2</v>
      </c>
      <c r="AT8" s="19">
        <f t="shared" si="13"/>
        <v>2</v>
      </c>
      <c r="AU8" s="19">
        <f t="shared" si="11"/>
        <v>2</v>
      </c>
      <c r="AV8" s="19">
        <f t="shared" si="12"/>
        <v>1</v>
      </c>
      <c r="AW8" s="19">
        <f t="shared" si="4"/>
        <v>2</v>
      </c>
      <c r="AX8" s="19">
        <f t="shared" si="5"/>
        <v>5</v>
      </c>
      <c r="AY8" s="19">
        <f t="shared" si="6"/>
        <v>1</v>
      </c>
      <c r="AZ8" s="19">
        <f t="shared" si="7"/>
        <v>1</v>
      </c>
      <c r="BA8" s="19">
        <f t="shared" si="8"/>
        <v>3</v>
      </c>
      <c r="BB8" s="19">
        <f t="shared" si="9"/>
        <v>2</v>
      </c>
      <c r="BC8" s="15">
        <f t="shared" si="10"/>
        <v>29</v>
      </c>
      <c r="BD8" s="12"/>
      <c r="BE8" s="12"/>
      <c r="BF8" s="12"/>
      <c r="BG8" s="12"/>
      <c r="BH8" s="12"/>
    </row>
    <row r="9" spans="1:60" ht="28.5" customHeight="1">
      <c r="A9" s="134">
        <v>4</v>
      </c>
      <c r="B9" s="13">
        <v>5</v>
      </c>
      <c r="C9" s="13" t="s">
        <v>35</v>
      </c>
      <c r="D9" s="40">
        <v>5</v>
      </c>
      <c r="E9" s="41" t="s">
        <v>26</v>
      </c>
      <c r="F9" s="16" t="s">
        <v>23</v>
      </c>
      <c r="G9" s="16" t="s">
        <v>17</v>
      </c>
      <c r="H9" s="16" t="s">
        <v>15</v>
      </c>
      <c r="I9" s="16" t="s">
        <v>16</v>
      </c>
      <c r="J9" s="17"/>
      <c r="K9" s="42"/>
      <c r="L9" s="78" t="s">
        <v>26</v>
      </c>
      <c r="M9" s="76" t="s">
        <v>23</v>
      </c>
      <c r="N9" s="16" t="s">
        <v>15</v>
      </c>
      <c r="O9" s="16" t="s">
        <v>27</v>
      </c>
      <c r="P9" s="16" t="s">
        <v>26</v>
      </c>
      <c r="Q9" s="16" t="s">
        <v>19</v>
      </c>
      <c r="R9" s="43" t="s">
        <v>19</v>
      </c>
      <c r="S9" s="41" t="s">
        <v>17</v>
      </c>
      <c r="T9" s="16" t="s">
        <v>15</v>
      </c>
      <c r="U9" s="16" t="s">
        <v>16</v>
      </c>
      <c r="V9" s="16" t="s">
        <v>18</v>
      </c>
      <c r="W9" s="16" t="s">
        <v>20</v>
      </c>
      <c r="X9" s="17"/>
      <c r="Y9" s="42"/>
      <c r="Z9" s="41" t="s">
        <v>23</v>
      </c>
      <c r="AA9" s="16" t="s">
        <v>24</v>
      </c>
      <c r="AB9" s="16" t="s">
        <v>15</v>
      </c>
      <c r="AC9" s="16" t="s">
        <v>20</v>
      </c>
      <c r="AD9" s="16" t="s">
        <v>27</v>
      </c>
      <c r="AE9" s="17"/>
      <c r="AF9" s="42"/>
      <c r="AG9" s="41" t="s">
        <v>23</v>
      </c>
      <c r="AH9" s="16" t="s">
        <v>22</v>
      </c>
      <c r="AI9" s="16" t="s">
        <v>22</v>
      </c>
      <c r="AJ9" s="16" t="s">
        <v>15</v>
      </c>
      <c r="AK9" s="16" t="s">
        <v>21</v>
      </c>
      <c r="AL9" s="16" t="s">
        <v>18</v>
      </c>
      <c r="AM9" s="43" t="s">
        <v>23</v>
      </c>
      <c r="AN9" s="44"/>
      <c r="AO9" s="18"/>
      <c r="AP9" s="19">
        <f t="shared" si="0"/>
        <v>5</v>
      </c>
      <c r="AQ9" s="19">
        <f t="shared" si="1"/>
        <v>2</v>
      </c>
      <c r="AR9" s="19">
        <f t="shared" si="2"/>
        <v>2</v>
      </c>
      <c r="AS9" s="19">
        <f t="shared" si="3"/>
        <v>2</v>
      </c>
      <c r="AT9" s="19">
        <f t="shared" si="13"/>
        <v>2</v>
      </c>
      <c r="AU9" s="19">
        <f t="shared" si="11"/>
        <v>2</v>
      </c>
      <c r="AV9" s="19">
        <f t="shared" si="12"/>
        <v>1</v>
      </c>
      <c r="AW9" s="19">
        <f t="shared" si="4"/>
        <v>2</v>
      </c>
      <c r="AX9" s="19">
        <f t="shared" si="5"/>
        <v>5</v>
      </c>
      <c r="AY9" s="19">
        <f t="shared" si="6"/>
        <v>1</v>
      </c>
      <c r="AZ9" s="19">
        <f t="shared" si="7"/>
        <v>0</v>
      </c>
      <c r="BA9" s="19">
        <f t="shared" si="8"/>
        <v>3</v>
      </c>
      <c r="BB9" s="19">
        <f t="shared" si="9"/>
        <v>2</v>
      </c>
      <c r="BC9" s="15">
        <f t="shared" si="10"/>
        <v>29</v>
      </c>
      <c r="BD9" s="12"/>
      <c r="BE9" s="12"/>
      <c r="BF9" s="12"/>
      <c r="BG9" s="12"/>
      <c r="BH9" s="12"/>
    </row>
    <row r="10" spans="1:60" ht="28.5" customHeight="1">
      <c r="A10" s="185"/>
      <c r="B10" s="13">
        <v>6</v>
      </c>
      <c r="C10" s="13" t="s">
        <v>36</v>
      </c>
      <c r="D10" s="40">
        <v>5</v>
      </c>
      <c r="E10" s="41" t="s">
        <v>26</v>
      </c>
      <c r="F10" s="16" t="s">
        <v>23</v>
      </c>
      <c r="G10" s="16" t="s">
        <v>17</v>
      </c>
      <c r="H10" s="16" t="s">
        <v>15</v>
      </c>
      <c r="I10" s="16" t="s">
        <v>16</v>
      </c>
      <c r="J10" s="17"/>
      <c r="K10" s="42"/>
      <c r="L10" s="78" t="s">
        <v>26</v>
      </c>
      <c r="M10" s="76" t="s">
        <v>21</v>
      </c>
      <c r="N10" s="16" t="s">
        <v>15</v>
      </c>
      <c r="O10" s="16" t="s">
        <v>27</v>
      </c>
      <c r="P10" s="16" t="s">
        <v>26</v>
      </c>
      <c r="Q10" s="16" t="s">
        <v>19</v>
      </c>
      <c r="R10" s="43" t="s">
        <v>19</v>
      </c>
      <c r="S10" s="41" t="s">
        <v>17</v>
      </c>
      <c r="T10" s="16" t="s">
        <v>15</v>
      </c>
      <c r="U10" s="16" t="s">
        <v>16</v>
      </c>
      <c r="V10" s="16" t="s">
        <v>18</v>
      </c>
      <c r="W10" s="16" t="s">
        <v>20</v>
      </c>
      <c r="X10" s="17"/>
      <c r="Y10" s="42"/>
      <c r="Z10" s="41" t="s">
        <v>23</v>
      </c>
      <c r="AA10" s="16" t="s">
        <v>24</v>
      </c>
      <c r="AB10" s="16" t="s">
        <v>15</v>
      </c>
      <c r="AC10" s="16" t="s">
        <v>20</v>
      </c>
      <c r="AD10" s="16" t="s">
        <v>27</v>
      </c>
      <c r="AE10" s="17"/>
      <c r="AF10" s="42"/>
      <c r="AG10" s="41" t="s">
        <v>23</v>
      </c>
      <c r="AH10" s="16" t="s">
        <v>22</v>
      </c>
      <c r="AI10" s="16" t="s">
        <v>22</v>
      </c>
      <c r="AJ10" s="16" t="s">
        <v>15</v>
      </c>
      <c r="AK10" s="16" t="s">
        <v>21</v>
      </c>
      <c r="AL10" s="16" t="s">
        <v>18</v>
      </c>
      <c r="AM10" s="43" t="s">
        <v>23</v>
      </c>
      <c r="AN10" s="44"/>
      <c r="AO10" s="18"/>
      <c r="AP10" s="19">
        <f t="shared" si="0"/>
        <v>5</v>
      </c>
      <c r="AQ10" s="19">
        <f t="shared" si="1"/>
        <v>2</v>
      </c>
      <c r="AR10" s="19">
        <f t="shared" si="2"/>
        <v>2</v>
      </c>
      <c r="AS10" s="19">
        <f t="shared" si="3"/>
        <v>2</v>
      </c>
      <c r="AT10" s="19">
        <f t="shared" si="13"/>
        <v>2</v>
      </c>
      <c r="AU10" s="19">
        <f t="shared" si="11"/>
        <v>2</v>
      </c>
      <c r="AV10" s="19">
        <f t="shared" si="12"/>
        <v>2</v>
      </c>
      <c r="AW10" s="19">
        <f t="shared" si="4"/>
        <v>2</v>
      </c>
      <c r="AX10" s="19">
        <f t="shared" si="5"/>
        <v>4</v>
      </c>
      <c r="AY10" s="19">
        <f t="shared" si="6"/>
        <v>1</v>
      </c>
      <c r="AZ10" s="19">
        <f t="shared" si="7"/>
        <v>0</v>
      </c>
      <c r="BA10" s="19">
        <f t="shared" si="8"/>
        <v>3</v>
      </c>
      <c r="BB10" s="19">
        <f t="shared" si="9"/>
        <v>2</v>
      </c>
      <c r="BC10" s="15">
        <f t="shared" si="10"/>
        <v>29</v>
      </c>
      <c r="BD10" s="12"/>
      <c r="BE10" s="12"/>
      <c r="BF10" s="12"/>
      <c r="BG10" s="12"/>
      <c r="BH10" s="12"/>
    </row>
    <row r="11" spans="1:60" ht="28.5" customHeight="1">
      <c r="A11" s="185"/>
      <c r="B11" s="13">
        <v>7</v>
      </c>
      <c r="C11" s="13" t="s">
        <v>37</v>
      </c>
      <c r="D11" s="40">
        <v>5</v>
      </c>
      <c r="E11" s="41" t="s">
        <v>26</v>
      </c>
      <c r="F11" s="16" t="s">
        <v>23</v>
      </c>
      <c r="G11" s="16" t="s">
        <v>17</v>
      </c>
      <c r="H11" s="16" t="s">
        <v>15</v>
      </c>
      <c r="I11" s="16" t="s">
        <v>16</v>
      </c>
      <c r="J11" s="17"/>
      <c r="K11" s="42"/>
      <c r="L11" s="78" t="s">
        <v>26</v>
      </c>
      <c r="M11" s="76" t="s">
        <v>21</v>
      </c>
      <c r="N11" s="16" t="s">
        <v>15</v>
      </c>
      <c r="O11" s="16" t="s">
        <v>27</v>
      </c>
      <c r="P11" s="16" t="s">
        <v>26</v>
      </c>
      <c r="Q11" s="16" t="s">
        <v>19</v>
      </c>
      <c r="R11" s="43" t="s">
        <v>19</v>
      </c>
      <c r="S11" s="41" t="s">
        <v>17</v>
      </c>
      <c r="T11" s="16" t="s">
        <v>15</v>
      </c>
      <c r="U11" s="16" t="s">
        <v>16</v>
      </c>
      <c r="V11" s="16" t="s">
        <v>18</v>
      </c>
      <c r="W11" s="16" t="s">
        <v>20</v>
      </c>
      <c r="X11" s="17"/>
      <c r="Y11" s="42"/>
      <c r="Z11" s="41" t="s">
        <v>23</v>
      </c>
      <c r="AA11" s="16" t="s">
        <v>24</v>
      </c>
      <c r="AB11" s="16" t="s">
        <v>15</v>
      </c>
      <c r="AC11" s="16" t="s">
        <v>20</v>
      </c>
      <c r="AD11" s="16" t="s">
        <v>27</v>
      </c>
      <c r="AE11" s="17"/>
      <c r="AF11" s="42"/>
      <c r="AG11" s="41" t="s">
        <v>23</v>
      </c>
      <c r="AH11" s="16" t="s">
        <v>22</v>
      </c>
      <c r="AI11" s="16" t="s">
        <v>22</v>
      </c>
      <c r="AJ11" s="16" t="s">
        <v>15</v>
      </c>
      <c r="AK11" s="16" t="s">
        <v>21</v>
      </c>
      <c r="AL11" s="16" t="s">
        <v>18</v>
      </c>
      <c r="AM11" s="43" t="s">
        <v>23</v>
      </c>
      <c r="AN11" s="44"/>
      <c r="AO11" s="18"/>
      <c r="AP11" s="19">
        <f t="shared" si="0"/>
        <v>5</v>
      </c>
      <c r="AQ11" s="19">
        <f t="shared" si="1"/>
        <v>2</v>
      </c>
      <c r="AR11" s="19">
        <f t="shared" si="2"/>
        <v>2</v>
      </c>
      <c r="AS11" s="19">
        <f t="shared" si="3"/>
        <v>2</v>
      </c>
      <c r="AT11" s="19">
        <f t="shared" si="13"/>
        <v>2</v>
      </c>
      <c r="AU11" s="19">
        <f t="shared" si="11"/>
        <v>2</v>
      </c>
      <c r="AV11" s="19">
        <f t="shared" si="12"/>
        <v>2</v>
      </c>
      <c r="AW11" s="19">
        <f t="shared" si="4"/>
        <v>2</v>
      </c>
      <c r="AX11" s="19">
        <f t="shared" si="5"/>
        <v>4</v>
      </c>
      <c r="AY11" s="19">
        <f t="shared" si="6"/>
        <v>1</v>
      </c>
      <c r="AZ11" s="19">
        <f t="shared" si="7"/>
        <v>0</v>
      </c>
      <c r="BA11" s="19">
        <f t="shared" si="8"/>
        <v>3</v>
      </c>
      <c r="BB11" s="19">
        <f t="shared" si="9"/>
        <v>2</v>
      </c>
      <c r="BC11" s="15">
        <f t="shared" si="10"/>
        <v>29</v>
      </c>
      <c r="BD11" s="12"/>
      <c r="BE11" s="12"/>
      <c r="BF11" s="12"/>
      <c r="BG11" s="12"/>
      <c r="BH11" s="12"/>
    </row>
    <row r="12" spans="1:60" ht="28.5" customHeight="1">
      <c r="A12" s="186"/>
      <c r="B12" s="13">
        <v>8</v>
      </c>
      <c r="C12" s="13" t="s">
        <v>38</v>
      </c>
      <c r="D12" s="40">
        <v>5</v>
      </c>
      <c r="E12" s="41" t="s">
        <v>26</v>
      </c>
      <c r="F12" s="16" t="s">
        <v>23</v>
      </c>
      <c r="G12" s="16" t="s">
        <v>17</v>
      </c>
      <c r="H12" s="16" t="s">
        <v>15</v>
      </c>
      <c r="I12" s="16" t="s">
        <v>16</v>
      </c>
      <c r="J12" s="17"/>
      <c r="K12" s="42"/>
      <c r="L12" s="41" t="s">
        <v>16</v>
      </c>
      <c r="M12" s="76" t="s">
        <v>20</v>
      </c>
      <c r="N12" s="16" t="s">
        <v>15</v>
      </c>
      <c r="O12" s="16" t="s">
        <v>27</v>
      </c>
      <c r="P12" s="16" t="s">
        <v>26</v>
      </c>
      <c r="Q12" s="16" t="s">
        <v>19</v>
      </c>
      <c r="R12" s="43" t="s">
        <v>19</v>
      </c>
      <c r="S12" s="41" t="s">
        <v>17</v>
      </c>
      <c r="T12" s="16" t="s">
        <v>15</v>
      </c>
      <c r="U12" s="16" t="s">
        <v>16</v>
      </c>
      <c r="V12" s="16" t="s">
        <v>18</v>
      </c>
      <c r="W12" s="16" t="s">
        <v>20</v>
      </c>
      <c r="X12" s="17"/>
      <c r="Y12" s="42"/>
      <c r="Z12" s="41" t="s">
        <v>23</v>
      </c>
      <c r="AA12" s="16" t="s">
        <v>24</v>
      </c>
      <c r="AB12" s="16" t="s">
        <v>15</v>
      </c>
      <c r="AC12" s="16" t="s">
        <v>20</v>
      </c>
      <c r="AD12" s="16" t="s">
        <v>27</v>
      </c>
      <c r="AE12" s="17"/>
      <c r="AF12" s="42"/>
      <c r="AG12" s="41" t="s">
        <v>23</v>
      </c>
      <c r="AH12" s="16" t="s">
        <v>22</v>
      </c>
      <c r="AI12" s="16" t="s">
        <v>22</v>
      </c>
      <c r="AJ12" s="16" t="s">
        <v>15</v>
      </c>
      <c r="AK12" s="16" t="s">
        <v>21</v>
      </c>
      <c r="AL12" s="16" t="s">
        <v>18</v>
      </c>
      <c r="AM12" s="43" t="s">
        <v>23</v>
      </c>
      <c r="AN12" s="44"/>
      <c r="AO12" s="18"/>
      <c r="AP12" s="19">
        <f t="shared" si="0"/>
        <v>5</v>
      </c>
      <c r="AQ12" s="19">
        <f t="shared" si="1"/>
        <v>3</v>
      </c>
      <c r="AR12" s="19">
        <f t="shared" si="2"/>
        <v>2</v>
      </c>
      <c r="AS12" s="19">
        <f t="shared" si="3"/>
        <v>2</v>
      </c>
      <c r="AT12" s="19">
        <f t="shared" si="13"/>
        <v>2</v>
      </c>
      <c r="AU12" s="19">
        <f t="shared" si="11"/>
        <v>3</v>
      </c>
      <c r="AV12" s="19">
        <f t="shared" si="12"/>
        <v>1</v>
      </c>
      <c r="AW12" s="19">
        <f t="shared" si="4"/>
        <v>2</v>
      </c>
      <c r="AX12" s="19">
        <f t="shared" si="5"/>
        <v>4</v>
      </c>
      <c r="AY12" s="19">
        <f t="shared" si="6"/>
        <v>1</v>
      </c>
      <c r="AZ12" s="19">
        <f t="shared" si="7"/>
        <v>0</v>
      </c>
      <c r="BA12" s="19">
        <f t="shared" si="8"/>
        <v>2</v>
      </c>
      <c r="BB12" s="19">
        <f t="shared" si="9"/>
        <v>2</v>
      </c>
      <c r="BC12" s="15">
        <f t="shared" si="10"/>
        <v>29</v>
      </c>
      <c r="BD12" s="12"/>
      <c r="BE12" s="12"/>
      <c r="BF12" s="12"/>
      <c r="BG12" s="12"/>
      <c r="BH12" s="12"/>
    </row>
    <row r="13" spans="1:60" ht="28.5" customHeight="1">
      <c r="A13" s="134">
        <v>5</v>
      </c>
      <c r="B13" s="13">
        <v>9</v>
      </c>
      <c r="C13" s="13" t="s">
        <v>39</v>
      </c>
      <c r="D13" s="40">
        <v>4</v>
      </c>
      <c r="E13" s="41" t="s">
        <v>26</v>
      </c>
      <c r="F13" s="16" t="s">
        <v>23</v>
      </c>
      <c r="G13" s="16" t="s">
        <v>17</v>
      </c>
      <c r="H13" s="16" t="s">
        <v>15</v>
      </c>
      <c r="I13" s="16" t="s">
        <v>16</v>
      </c>
      <c r="J13" s="17"/>
      <c r="K13" s="42"/>
      <c r="L13" s="41" t="s">
        <v>16</v>
      </c>
      <c r="M13" s="16" t="s">
        <v>17</v>
      </c>
      <c r="N13" s="16" t="s">
        <v>15</v>
      </c>
      <c r="O13" s="16" t="s">
        <v>27</v>
      </c>
      <c r="P13" s="16" t="s">
        <v>26</v>
      </c>
      <c r="Q13" s="16" t="s">
        <v>19</v>
      </c>
      <c r="R13" s="43" t="s">
        <v>19</v>
      </c>
      <c r="S13" s="41" t="s">
        <v>17</v>
      </c>
      <c r="T13" s="16" t="s">
        <v>15</v>
      </c>
      <c r="U13" s="16" t="s">
        <v>16</v>
      </c>
      <c r="V13" s="16" t="s">
        <v>18</v>
      </c>
      <c r="W13" s="16" t="s">
        <v>20</v>
      </c>
      <c r="X13" s="17"/>
      <c r="Y13" s="42"/>
      <c r="Z13" s="77" t="s">
        <v>25</v>
      </c>
      <c r="AA13" s="16" t="s">
        <v>24</v>
      </c>
      <c r="AB13" s="16" t="s">
        <v>15</v>
      </c>
      <c r="AC13" s="16" t="s">
        <v>20</v>
      </c>
      <c r="AD13" s="16" t="s">
        <v>27</v>
      </c>
      <c r="AE13" s="17"/>
      <c r="AF13" s="42"/>
      <c r="AG13" s="135" t="s">
        <v>40</v>
      </c>
      <c r="AH13" s="187"/>
      <c r="AI13" s="187"/>
      <c r="AJ13" s="187"/>
      <c r="AK13" s="187"/>
      <c r="AL13" s="187"/>
      <c r="AM13" s="188"/>
      <c r="AN13" s="45"/>
      <c r="AO13" s="18"/>
      <c r="AP13" s="19">
        <f t="shared" si="0"/>
        <v>4</v>
      </c>
      <c r="AQ13" s="19">
        <f t="shared" si="1"/>
        <v>3</v>
      </c>
      <c r="AR13" s="19">
        <f t="shared" si="2"/>
        <v>3</v>
      </c>
      <c r="AS13" s="19">
        <f t="shared" si="3"/>
        <v>1</v>
      </c>
      <c r="AT13" s="19">
        <f t="shared" si="13"/>
        <v>2</v>
      </c>
      <c r="AU13" s="19">
        <f t="shared" si="11"/>
        <v>2</v>
      </c>
      <c r="AV13" s="19">
        <f t="shared" si="12"/>
        <v>0</v>
      </c>
      <c r="AW13" s="19">
        <f t="shared" si="4"/>
        <v>0</v>
      </c>
      <c r="AX13" s="19">
        <f t="shared" si="5"/>
        <v>1</v>
      </c>
      <c r="AY13" s="19">
        <f t="shared" si="6"/>
        <v>1</v>
      </c>
      <c r="AZ13" s="19">
        <f t="shared" si="7"/>
        <v>1</v>
      </c>
      <c r="BA13" s="19">
        <f t="shared" si="8"/>
        <v>2</v>
      </c>
      <c r="BB13" s="19">
        <f t="shared" si="9"/>
        <v>2</v>
      </c>
      <c r="BC13" s="15">
        <f t="shared" si="10"/>
        <v>22</v>
      </c>
      <c r="BD13" s="12"/>
      <c r="BE13" s="12"/>
      <c r="BF13" s="12"/>
      <c r="BG13" s="12"/>
      <c r="BH13" s="12"/>
    </row>
    <row r="14" spans="1:60" ht="28.5" customHeight="1">
      <c r="A14" s="185"/>
      <c r="B14" s="13">
        <v>10</v>
      </c>
      <c r="C14" s="13" t="s">
        <v>41</v>
      </c>
      <c r="D14" s="40">
        <v>3</v>
      </c>
      <c r="E14" s="135" t="s">
        <v>30</v>
      </c>
      <c r="F14" s="187"/>
      <c r="G14" s="187"/>
      <c r="H14" s="187"/>
      <c r="I14" s="187"/>
      <c r="J14" s="187"/>
      <c r="K14" s="188"/>
      <c r="L14" s="135" t="s">
        <v>42</v>
      </c>
      <c r="M14" s="187"/>
      <c r="N14" s="187"/>
      <c r="O14" s="187"/>
      <c r="P14" s="187"/>
      <c r="Q14" s="187"/>
      <c r="R14" s="188"/>
      <c r="S14" s="41" t="s">
        <v>17</v>
      </c>
      <c r="T14" s="16" t="s">
        <v>15</v>
      </c>
      <c r="U14" s="16" t="s">
        <v>16</v>
      </c>
      <c r="V14" s="16" t="s">
        <v>18</v>
      </c>
      <c r="W14" s="16" t="s">
        <v>20</v>
      </c>
      <c r="X14" s="17"/>
      <c r="Y14" s="42"/>
      <c r="Z14" s="41" t="s">
        <v>23</v>
      </c>
      <c r="AA14" s="16" t="s">
        <v>24</v>
      </c>
      <c r="AB14" s="16" t="s">
        <v>15</v>
      </c>
      <c r="AC14" s="16" t="s">
        <v>20</v>
      </c>
      <c r="AD14" s="16" t="s">
        <v>27</v>
      </c>
      <c r="AE14" s="17"/>
      <c r="AF14" s="42"/>
      <c r="AG14" s="41" t="s">
        <v>23</v>
      </c>
      <c r="AH14" s="16" t="s">
        <v>22</v>
      </c>
      <c r="AI14" s="76" t="s">
        <v>21</v>
      </c>
      <c r="AJ14" s="16" t="s">
        <v>15</v>
      </c>
      <c r="AK14" s="16" t="s">
        <v>21</v>
      </c>
      <c r="AL14" s="16" t="s">
        <v>18</v>
      </c>
      <c r="AM14" s="43" t="s">
        <v>23</v>
      </c>
      <c r="AN14" s="44"/>
      <c r="AO14" s="18"/>
      <c r="AP14" s="19">
        <f t="shared" si="0"/>
        <v>3</v>
      </c>
      <c r="AQ14" s="19">
        <f t="shared" si="1"/>
        <v>1</v>
      </c>
      <c r="AR14" s="19">
        <f t="shared" si="2"/>
        <v>1</v>
      </c>
      <c r="AS14" s="19">
        <f t="shared" si="3"/>
        <v>2</v>
      </c>
      <c r="AT14" s="19">
        <f t="shared" si="13"/>
        <v>0</v>
      </c>
      <c r="AU14" s="19">
        <f t="shared" si="11"/>
        <v>2</v>
      </c>
      <c r="AV14" s="19">
        <f t="shared" si="12"/>
        <v>2</v>
      </c>
      <c r="AW14" s="19">
        <f t="shared" si="4"/>
        <v>1</v>
      </c>
      <c r="AX14" s="19">
        <f t="shared" si="5"/>
        <v>3</v>
      </c>
      <c r="AY14" s="19">
        <f t="shared" si="6"/>
        <v>1</v>
      </c>
      <c r="AZ14" s="19">
        <f t="shared" si="7"/>
        <v>0</v>
      </c>
      <c r="BA14" s="19">
        <f t="shared" si="8"/>
        <v>0</v>
      </c>
      <c r="BB14" s="19">
        <f t="shared" si="9"/>
        <v>1</v>
      </c>
      <c r="BC14" s="15">
        <f t="shared" si="10"/>
        <v>17</v>
      </c>
      <c r="BD14" s="12"/>
      <c r="BE14" s="12"/>
      <c r="BF14" s="12"/>
      <c r="BG14" s="12"/>
      <c r="BH14" s="12"/>
    </row>
    <row r="15" spans="1:60" ht="28.5" customHeight="1">
      <c r="A15" s="185"/>
      <c r="B15" s="13">
        <v>11</v>
      </c>
      <c r="C15" s="13" t="s">
        <v>43</v>
      </c>
      <c r="D15" s="40">
        <v>5</v>
      </c>
      <c r="E15" s="41" t="s">
        <v>26</v>
      </c>
      <c r="F15" s="16" t="s">
        <v>23</v>
      </c>
      <c r="G15" s="16" t="s">
        <v>17</v>
      </c>
      <c r="H15" s="16" t="s">
        <v>15</v>
      </c>
      <c r="I15" s="16" t="s">
        <v>16</v>
      </c>
      <c r="J15" s="17"/>
      <c r="K15" s="42"/>
      <c r="L15" s="41" t="s">
        <v>16</v>
      </c>
      <c r="M15" s="16" t="s">
        <v>17</v>
      </c>
      <c r="N15" s="16" t="s">
        <v>15</v>
      </c>
      <c r="O15" s="16" t="s">
        <v>27</v>
      </c>
      <c r="P15" s="16" t="s">
        <v>26</v>
      </c>
      <c r="Q15" s="16" t="s">
        <v>19</v>
      </c>
      <c r="R15" s="43" t="s">
        <v>19</v>
      </c>
      <c r="S15" s="41" t="s">
        <v>17</v>
      </c>
      <c r="T15" s="16" t="s">
        <v>15</v>
      </c>
      <c r="U15" s="16" t="s">
        <v>16</v>
      </c>
      <c r="V15" s="16" t="s">
        <v>18</v>
      </c>
      <c r="W15" s="16" t="s">
        <v>20</v>
      </c>
      <c r="X15" s="17"/>
      <c r="Y15" s="42"/>
      <c r="Z15" s="41" t="s">
        <v>23</v>
      </c>
      <c r="AA15" s="16" t="s">
        <v>24</v>
      </c>
      <c r="AB15" s="16" t="s">
        <v>15</v>
      </c>
      <c r="AC15" s="16" t="s">
        <v>20</v>
      </c>
      <c r="AD15" s="16" t="s">
        <v>27</v>
      </c>
      <c r="AE15" s="17"/>
      <c r="AF15" s="42"/>
      <c r="AG15" s="41" t="s">
        <v>23</v>
      </c>
      <c r="AH15" s="16" t="s">
        <v>22</v>
      </c>
      <c r="AI15" s="76" t="s">
        <v>21</v>
      </c>
      <c r="AJ15" s="16" t="s">
        <v>15</v>
      </c>
      <c r="AK15" s="16" t="s">
        <v>21</v>
      </c>
      <c r="AL15" s="16" t="s">
        <v>18</v>
      </c>
      <c r="AM15" s="43" t="s">
        <v>23</v>
      </c>
      <c r="AN15" s="44"/>
      <c r="AO15" s="18"/>
      <c r="AP15" s="19">
        <f t="shared" si="0"/>
        <v>5</v>
      </c>
      <c r="AQ15" s="19">
        <f t="shared" si="1"/>
        <v>3</v>
      </c>
      <c r="AR15" s="19">
        <f t="shared" si="2"/>
        <v>3</v>
      </c>
      <c r="AS15" s="19">
        <f t="shared" si="3"/>
        <v>2</v>
      </c>
      <c r="AT15" s="19">
        <f t="shared" si="13"/>
        <v>2</v>
      </c>
      <c r="AU15" s="19">
        <f t="shared" si="11"/>
        <v>2</v>
      </c>
      <c r="AV15" s="19">
        <f t="shared" si="12"/>
        <v>2</v>
      </c>
      <c r="AW15" s="19">
        <f t="shared" si="4"/>
        <v>1</v>
      </c>
      <c r="AX15" s="19">
        <f t="shared" si="5"/>
        <v>4</v>
      </c>
      <c r="AY15" s="19">
        <f t="shared" si="6"/>
        <v>1</v>
      </c>
      <c r="AZ15" s="19">
        <f t="shared" si="7"/>
        <v>0</v>
      </c>
      <c r="BA15" s="19">
        <f t="shared" si="8"/>
        <v>2</v>
      </c>
      <c r="BB15" s="19">
        <f t="shared" si="9"/>
        <v>2</v>
      </c>
      <c r="BC15" s="15">
        <f t="shared" si="10"/>
        <v>29</v>
      </c>
      <c r="BD15" s="12"/>
      <c r="BE15" s="12"/>
      <c r="BF15" s="12"/>
      <c r="BG15" s="12"/>
      <c r="BH15" s="12"/>
    </row>
    <row r="16" spans="1:60" ht="28.5" customHeight="1">
      <c r="A16" s="185"/>
      <c r="B16" s="13">
        <v>12</v>
      </c>
      <c r="C16" s="13" t="s">
        <v>44</v>
      </c>
      <c r="D16" s="40">
        <v>5</v>
      </c>
      <c r="E16" s="41" t="s">
        <v>26</v>
      </c>
      <c r="F16" s="16" t="s">
        <v>23</v>
      </c>
      <c r="G16" s="16" t="s">
        <v>17</v>
      </c>
      <c r="H16" s="16" t="s">
        <v>15</v>
      </c>
      <c r="I16" s="16" t="s">
        <v>16</v>
      </c>
      <c r="J16" s="17"/>
      <c r="K16" s="42"/>
      <c r="L16" s="41" t="s">
        <v>16</v>
      </c>
      <c r="M16" s="16" t="s">
        <v>17</v>
      </c>
      <c r="N16" s="16" t="s">
        <v>15</v>
      </c>
      <c r="O16" s="16" t="s">
        <v>27</v>
      </c>
      <c r="P16" s="16" t="s">
        <v>26</v>
      </c>
      <c r="Q16" s="16" t="s">
        <v>19</v>
      </c>
      <c r="R16" s="43" t="s">
        <v>19</v>
      </c>
      <c r="S16" s="41" t="s">
        <v>17</v>
      </c>
      <c r="T16" s="16" t="s">
        <v>15</v>
      </c>
      <c r="U16" s="16" t="s">
        <v>16</v>
      </c>
      <c r="V16" s="16" t="s">
        <v>18</v>
      </c>
      <c r="W16" s="16" t="s">
        <v>20</v>
      </c>
      <c r="X16" s="17"/>
      <c r="Y16" s="42"/>
      <c r="Z16" s="41" t="s">
        <v>23</v>
      </c>
      <c r="AA16" s="16" t="s">
        <v>24</v>
      </c>
      <c r="AB16" s="16" t="s">
        <v>15</v>
      </c>
      <c r="AC16" s="16" t="s">
        <v>20</v>
      </c>
      <c r="AD16" s="16" t="s">
        <v>27</v>
      </c>
      <c r="AE16" s="17"/>
      <c r="AF16" s="42"/>
      <c r="AG16" s="41" t="s">
        <v>23</v>
      </c>
      <c r="AH16" s="16" t="s">
        <v>22</v>
      </c>
      <c r="AI16" s="76" t="s">
        <v>21</v>
      </c>
      <c r="AJ16" s="16" t="s">
        <v>15</v>
      </c>
      <c r="AK16" s="16" t="s">
        <v>21</v>
      </c>
      <c r="AL16" s="16" t="s">
        <v>18</v>
      </c>
      <c r="AM16" s="43" t="s">
        <v>23</v>
      </c>
      <c r="AN16" s="44"/>
      <c r="AO16" s="18"/>
      <c r="AP16" s="19">
        <f t="shared" si="0"/>
        <v>5</v>
      </c>
      <c r="AQ16" s="19">
        <f t="shared" si="1"/>
        <v>3</v>
      </c>
      <c r="AR16" s="19">
        <f t="shared" si="2"/>
        <v>3</v>
      </c>
      <c r="AS16" s="19">
        <f t="shared" si="3"/>
        <v>2</v>
      </c>
      <c r="AT16" s="19">
        <f t="shared" si="13"/>
        <v>2</v>
      </c>
      <c r="AU16" s="19">
        <f t="shared" si="11"/>
        <v>2</v>
      </c>
      <c r="AV16" s="19">
        <f t="shared" si="12"/>
        <v>2</v>
      </c>
      <c r="AW16" s="19">
        <f t="shared" si="4"/>
        <v>1</v>
      </c>
      <c r="AX16" s="19">
        <f t="shared" si="5"/>
        <v>4</v>
      </c>
      <c r="AY16" s="19">
        <f t="shared" si="6"/>
        <v>1</v>
      </c>
      <c r="AZ16" s="19">
        <f t="shared" si="7"/>
        <v>0</v>
      </c>
      <c r="BA16" s="19">
        <f t="shared" si="8"/>
        <v>2</v>
      </c>
      <c r="BB16" s="19">
        <f t="shared" si="9"/>
        <v>2</v>
      </c>
      <c r="BC16" s="15">
        <f t="shared" si="10"/>
        <v>29</v>
      </c>
      <c r="BD16" s="12"/>
      <c r="BE16" s="12"/>
      <c r="BF16" s="12"/>
      <c r="BG16" s="12"/>
      <c r="BH16" s="12"/>
    </row>
    <row r="17" spans="1:60" ht="28.5" customHeight="1">
      <c r="A17" s="186"/>
      <c r="B17" s="13">
        <v>13</v>
      </c>
      <c r="C17" s="13" t="s">
        <v>45</v>
      </c>
      <c r="D17" s="40">
        <v>4</v>
      </c>
      <c r="E17" s="135" t="s">
        <v>30</v>
      </c>
      <c r="F17" s="187"/>
      <c r="G17" s="187"/>
      <c r="H17" s="187"/>
      <c r="I17" s="187"/>
      <c r="J17" s="187"/>
      <c r="K17" s="188"/>
      <c r="L17" s="41" t="s">
        <v>16</v>
      </c>
      <c r="M17" s="16" t="s">
        <v>17</v>
      </c>
      <c r="N17" s="16" t="s">
        <v>15</v>
      </c>
      <c r="O17" s="16" t="s">
        <v>27</v>
      </c>
      <c r="P17" s="16" t="s">
        <v>26</v>
      </c>
      <c r="Q17" s="16" t="s">
        <v>19</v>
      </c>
      <c r="R17" s="43" t="s">
        <v>19</v>
      </c>
      <c r="S17" s="41" t="s">
        <v>17</v>
      </c>
      <c r="T17" s="16" t="s">
        <v>15</v>
      </c>
      <c r="U17" s="16" t="s">
        <v>16</v>
      </c>
      <c r="V17" s="16" t="s">
        <v>18</v>
      </c>
      <c r="W17" s="16" t="s">
        <v>20</v>
      </c>
      <c r="X17" s="17"/>
      <c r="Y17" s="42"/>
      <c r="Z17" s="41" t="s">
        <v>23</v>
      </c>
      <c r="AA17" s="16" t="s">
        <v>24</v>
      </c>
      <c r="AB17" s="16" t="s">
        <v>15</v>
      </c>
      <c r="AC17" s="16" t="s">
        <v>20</v>
      </c>
      <c r="AD17" s="16" t="s">
        <v>27</v>
      </c>
      <c r="AE17" s="17"/>
      <c r="AF17" s="42"/>
      <c r="AG17" s="41" t="s">
        <v>23</v>
      </c>
      <c r="AH17" s="16" t="s">
        <v>22</v>
      </c>
      <c r="AI17" s="76" t="s">
        <v>21</v>
      </c>
      <c r="AJ17" s="16" t="s">
        <v>15</v>
      </c>
      <c r="AK17" s="16" t="s">
        <v>21</v>
      </c>
      <c r="AL17" s="16" t="s">
        <v>18</v>
      </c>
      <c r="AM17" s="43" t="s">
        <v>23</v>
      </c>
      <c r="AN17" s="44"/>
      <c r="AO17" s="18"/>
      <c r="AP17" s="19">
        <f t="shared" si="0"/>
        <v>4</v>
      </c>
      <c r="AQ17" s="19">
        <f t="shared" si="1"/>
        <v>2</v>
      </c>
      <c r="AR17" s="19">
        <f t="shared" si="2"/>
        <v>2</v>
      </c>
      <c r="AS17" s="19">
        <f t="shared" si="3"/>
        <v>2</v>
      </c>
      <c r="AT17" s="19">
        <f t="shared" si="13"/>
        <v>2</v>
      </c>
      <c r="AU17" s="19">
        <f t="shared" si="11"/>
        <v>2</v>
      </c>
      <c r="AV17" s="19">
        <f t="shared" si="12"/>
        <v>2</v>
      </c>
      <c r="AW17" s="19">
        <f t="shared" si="4"/>
        <v>1</v>
      </c>
      <c r="AX17" s="19">
        <f t="shared" si="5"/>
        <v>3</v>
      </c>
      <c r="AY17" s="19">
        <f t="shared" si="6"/>
        <v>1</v>
      </c>
      <c r="AZ17" s="19">
        <f t="shared" si="7"/>
        <v>0</v>
      </c>
      <c r="BA17" s="19">
        <f t="shared" si="8"/>
        <v>1</v>
      </c>
      <c r="BB17" s="19">
        <f t="shared" si="9"/>
        <v>2</v>
      </c>
      <c r="BC17" s="15">
        <f t="shared" si="10"/>
        <v>24</v>
      </c>
      <c r="BD17" s="12"/>
      <c r="BE17" s="12"/>
      <c r="BF17" s="12"/>
      <c r="BG17" s="12"/>
      <c r="BH17" s="12"/>
    </row>
    <row r="18" spans="1:60" ht="28.5" customHeight="1">
      <c r="A18" s="134">
        <v>6</v>
      </c>
      <c r="B18" s="13">
        <v>14</v>
      </c>
      <c r="C18" s="13" t="s">
        <v>46</v>
      </c>
      <c r="D18" s="40">
        <v>4</v>
      </c>
      <c r="E18" s="41" t="s">
        <v>26</v>
      </c>
      <c r="F18" s="16" t="s">
        <v>23</v>
      </c>
      <c r="G18" s="16" t="s">
        <v>17</v>
      </c>
      <c r="H18" s="16" t="s">
        <v>15</v>
      </c>
      <c r="I18" s="16" t="s">
        <v>16</v>
      </c>
      <c r="J18" s="17"/>
      <c r="K18" s="42"/>
      <c r="L18" s="41" t="s">
        <v>16</v>
      </c>
      <c r="M18" s="16" t="s">
        <v>17</v>
      </c>
      <c r="N18" s="16" t="s">
        <v>15</v>
      </c>
      <c r="O18" s="16" t="s">
        <v>27</v>
      </c>
      <c r="P18" s="16" t="s">
        <v>26</v>
      </c>
      <c r="Q18" s="16" t="s">
        <v>19</v>
      </c>
      <c r="R18" s="43" t="s">
        <v>19</v>
      </c>
      <c r="S18" s="135" t="s">
        <v>47</v>
      </c>
      <c r="T18" s="187"/>
      <c r="U18" s="187"/>
      <c r="V18" s="187"/>
      <c r="W18" s="187"/>
      <c r="X18" s="187"/>
      <c r="Y18" s="188"/>
      <c r="Z18" s="77" t="s">
        <v>25</v>
      </c>
      <c r="AA18" s="16" t="s">
        <v>24</v>
      </c>
      <c r="AB18" s="16" t="s">
        <v>15</v>
      </c>
      <c r="AC18" s="16" t="s">
        <v>20</v>
      </c>
      <c r="AD18" s="16" t="s">
        <v>27</v>
      </c>
      <c r="AE18" s="17"/>
      <c r="AF18" s="42"/>
      <c r="AG18" s="41" t="s">
        <v>23</v>
      </c>
      <c r="AH18" s="16" t="s">
        <v>22</v>
      </c>
      <c r="AI18" s="76" t="s">
        <v>21</v>
      </c>
      <c r="AJ18" s="16" t="s">
        <v>15</v>
      </c>
      <c r="AK18" s="16" t="s">
        <v>21</v>
      </c>
      <c r="AL18" s="16" t="s">
        <v>18</v>
      </c>
      <c r="AM18" s="43" t="s">
        <v>23</v>
      </c>
      <c r="AN18" s="44"/>
      <c r="AO18" s="18"/>
      <c r="AP18" s="19">
        <f t="shared" si="0"/>
        <v>4</v>
      </c>
      <c r="AQ18" s="19">
        <f t="shared" si="1"/>
        <v>2</v>
      </c>
      <c r="AR18" s="19">
        <f t="shared" si="2"/>
        <v>2</v>
      </c>
      <c r="AS18" s="19">
        <f t="shared" si="3"/>
        <v>1</v>
      </c>
      <c r="AT18" s="19">
        <f t="shared" si="13"/>
        <v>2</v>
      </c>
      <c r="AU18" s="19">
        <f t="shared" si="11"/>
        <v>1</v>
      </c>
      <c r="AV18" s="19">
        <f t="shared" si="12"/>
        <v>2</v>
      </c>
      <c r="AW18" s="19">
        <f t="shared" si="4"/>
        <v>1</v>
      </c>
      <c r="AX18" s="19">
        <f t="shared" si="5"/>
        <v>3</v>
      </c>
      <c r="AY18" s="19">
        <f t="shared" si="6"/>
        <v>1</v>
      </c>
      <c r="AZ18" s="19">
        <f t="shared" si="7"/>
        <v>1</v>
      </c>
      <c r="BA18" s="19">
        <f t="shared" si="8"/>
        <v>2</v>
      </c>
      <c r="BB18" s="19">
        <f t="shared" si="9"/>
        <v>2</v>
      </c>
      <c r="BC18" s="15">
        <f t="shared" si="10"/>
        <v>24</v>
      </c>
      <c r="BD18" s="12"/>
      <c r="BE18" s="12"/>
      <c r="BF18" s="12"/>
      <c r="BG18" s="12"/>
      <c r="BH18" s="12"/>
    </row>
    <row r="19" spans="1:60" ht="28.5" customHeight="1">
      <c r="A19" s="185"/>
      <c r="B19" s="13">
        <v>15</v>
      </c>
      <c r="C19" s="13" t="s">
        <v>48</v>
      </c>
      <c r="D19" s="40">
        <v>5</v>
      </c>
      <c r="E19" s="41" t="s">
        <v>26</v>
      </c>
      <c r="F19" s="16" t="s">
        <v>23</v>
      </c>
      <c r="G19" s="16" t="s">
        <v>17</v>
      </c>
      <c r="H19" s="16" t="s">
        <v>15</v>
      </c>
      <c r="I19" s="16" t="s">
        <v>16</v>
      </c>
      <c r="J19" s="17"/>
      <c r="K19" s="42"/>
      <c r="L19" s="41" t="s">
        <v>16</v>
      </c>
      <c r="M19" s="16" t="s">
        <v>17</v>
      </c>
      <c r="N19" s="16" t="s">
        <v>15</v>
      </c>
      <c r="O19" s="16" t="s">
        <v>27</v>
      </c>
      <c r="P19" s="16" t="s">
        <v>26</v>
      </c>
      <c r="Q19" s="16" t="s">
        <v>19</v>
      </c>
      <c r="R19" s="43" t="s">
        <v>19</v>
      </c>
      <c r="S19" s="41" t="s">
        <v>17</v>
      </c>
      <c r="T19" s="16" t="s">
        <v>15</v>
      </c>
      <c r="U19" s="16" t="s">
        <v>16</v>
      </c>
      <c r="V19" s="16" t="s">
        <v>18</v>
      </c>
      <c r="W19" s="16" t="s">
        <v>20</v>
      </c>
      <c r="X19" s="17"/>
      <c r="Y19" s="42"/>
      <c r="Z19" s="41" t="s">
        <v>23</v>
      </c>
      <c r="AA19" s="16" t="s">
        <v>24</v>
      </c>
      <c r="AB19" s="16" t="s">
        <v>15</v>
      </c>
      <c r="AC19" s="16" t="s">
        <v>20</v>
      </c>
      <c r="AD19" s="16" t="s">
        <v>27</v>
      </c>
      <c r="AE19" s="17"/>
      <c r="AF19" s="42"/>
      <c r="AG19" s="41" t="s">
        <v>23</v>
      </c>
      <c r="AH19" s="16" t="s">
        <v>22</v>
      </c>
      <c r="AI19" s="76" t="s">
        <v>21</v>
      </c>
      <c r="AJ19" s="16" t="s">
        <v>15</v>
      </c>
      <c r="AK19" s="16" t="s">
        <v>21</v>
      </c>
      <c r="AL19" s="16" t="s">
        <v>18</v>
      </c>
      <c r="AM19" s="43" t="s">
        <v>23</v>
      </c>
      <c r="AN19" s="44"/>
      <c r="AO19" s="18"/>
      <c r="AP19" s="19">
        <f t="shared" si="0"/>
        <v>5</v>
      </c>
      <c r="AQ19" s="19">
        <f t="shared" si="1"/>
        <v>3</v>
      </c>
      <c r="AR19" s="19">
        <f t="shared" si="2"/>
        <v>3</v>
      </c>
      <c r="AS19" s="19">
        <f t="shared" si="3"/>
        <v>2</v>
      </c>
      <c r="AT19" s="19">
        <f t="shared" si="13"/>
        <v>2</v>
      </c>
      <c r="AU19" s="19">
        <f t="shared" si="11"/>
        <v>2</v>
      </c>
      <c r="AV19" s="19">
        <f t="shared" si="12"/>
        <v>2</v>
      </c>
      <c r="AW19" s="19">
        <f t="shared" si="4"/>
        <v>1</v>
      </c>
      <c r="AX19" s="19">
        <f t="shared" si="5"/>
        <v>4</v>
      </c>
      <c r="AY19" s="19">
        <f t="shared" si="6"/>
        <v>1</v>
      </c>
      <c r="AZ19" s="19">
        <f t="shared" si="7"/>
        <v>0</v>
      </c>
      <c r="BA19" s="19">
        <f t="shared" si="8"/>
        <v>2</v>
      </c>
      <c r="BB19" s="19">
        <f t="shared" si="9"/>
        <v>2</v>
      </c>
      <c r="BC19" s="15">
        <f t="shared" si="10"/>
        <v>29</v>
      </c>
      <c r="BD19" s="12"/>
      <c r="BE19" s="12"/>
      <c r="BF19" s="12"/>
      <c r="BG19" s="12"/>
      <c r="BH19" s="12"/>
    </row>
    <row r="20" spans="1:60" ht="28.5" customHeight="1">
      <c r="A20" s="185"/>
      <c r="B20" s="13">
        <v>16</v>
      </c>
      <c r="C20" s="13" t="s">
        <v>49</v>
      </c>
      <c r="D20" s="40">
        <v>5</v>
      </c>
      <c r="E20" s="41" t="s">
        <v>26</v>
      </c>
      <c r="F20" s="16" t="s">
        <v>23</v>
      </c>
      <c r="G20" s="16" t="s">
        <v>17</v>
      </c>
      <c r="H20" s="16" t="s">
        <v>15</v>
      </c>
      <c r="I20" s="16" t="s">
        <v>16</v>
      </c>
      <c r="J20" s="17"/>
      <c r="K20" s="42"/>
      <c r="L20" s="41" t="s">
        <v>16</v>
      </c>
      <c r="M20" s="16" t="s">
        <v>17</v>
      </c>
      <c r="N20" s="16" t="s">
        <v>15</v>
      </c>
      <c r="O20" s="16" t="s">
        <v>27</v>
      </c>
      <c r="P20" s="16" t="s">
        <v>26</v>
      </c>
      <c r="Q20" s="16" t="s">
        <v>19</v>
      </c>
      <c r="R20" s="43" t="s">
        <v>19</v>
      </c>
      <c r="S20" s="41" t="s">
        <v>17</v>
      </c>
      <c r="T20" s="16" t="s">
        <v>15</v>
      </c>
      <c r="U20" s="16" t="s">
        <v>16</v>
      </c>
      <c r="V20" s="16" t="s">
        <v>18</v>
      </c>
      <c r="W20" s="16" t="s">
        <v>20</v>
      </c>
      <c r="X20" s="17"/>
      <c r="Y20" s="42"/>
      <c r="Z20" s="41" t="s">
        <v>23</v>
      </c>
      <c r="AA20" s="16" t="s">
        <v>24</v>
      </c>
      <c r="AB20" s="16" t="s">
        <v>15</v>
      </c>
      <c r="AC20" s="16" t="s">
        <v>20</v>
      </c>
      <c r="AD20" s="16" t="s">
        <v>27</v>
      </c>
      <c r="AE20" s="17"/>
      <c r="AF20" s="42"/>
      <c r="AG20" s="41" t="s">
        <v>23</v>
      </c>
      <c r="AH20" s="16" t="s">
        <v>22</v>
      </c>
      <c r="AI20" s="76" t="s">
        <v>21</v>
      </c>
      <c r="AJ20" s="16" t="s">
        <v>15</v>
      </c>
      <c r="AK20" s="16" t="s">
        <v>21</v>
      </c>
      <c r="AL20" s="16" t="s">
        <v>18</v>
      </c>
      <c r="AM20" s="43" t="s">
        <v>23</v>
      </c>
      <c r="AN20" s="44"/>
      <c r="AO20" s="18"/>
      <c r="AP20" s="19">
        <f t="shared" si="0"/>
        <v>5</v>
      </c>
      <c r="AQ20" s="19">
        <f t="shared" si="1"/>
        <v>3</v>
      </c>
      <c r="AR20" s="19">
        <f t="shared" si="2"/>
        <v>3</v>
      </c>
      <c r="AS20" s="19">
        <f t="shared" si="3"/>
        <v>2</v>
      </c>
      <c r="AT20" s="19">
        <f t="shared" si="13"/>
        <v>2</v>
      </c>
      <c r="AU20" s="19">
        <f t="shared" si="11"/>
        <v>2</v>
      </c>
      <c r="AV20" s="19">
        <f t="shared" si="12"/>
        <v>2</v>
      </c>
      <c r="AW20" s="19">
        <f t="shared" si="4"/>
        <v>1</v>
      </c>
      <c r="AX20" s="19">
        <f t="shared" si="5"/>
        <v>4</v>
      </c>
      <c r="AY20" s="19">
        <f t="shared" si="6"/>
        <v>1</v>
      </c>
      <c r="AZ20" s="19">
        <f t="shared" si="7"/>
        <v>0</v>
      </c>
      <c r="BA20" s="19">
        <f t="shared" si="8"/>
        <v>2</v>
      </c>
      <c r="BB20" s="19">
        <f t="shared" si="9"/>
        <v>2</v>
      </c>
      <c r="BC20" s="15">
        <f t="shared" si="10"/>
        <v>29</v>
      </c>
      <c r="BD20" s="12"/>
      <c r="BE20" s="12"/>
      <c r="BF20" s="12"/>
      <c r="BG20" s="12"/>
      <c r="BH20" s="12"/>
    </row>
    <row r="21" spans="1:60" ht="28.5" customHeight="1">
      <c r="A21" s="186"/>
      <c r="B21" s="13">
        <v>17</v>
      </c>
      <c r="C21" s="13" t="s">
        <v>50</v>
      </c>
      <c r="D21" s="40">
        <v>5</v>
      </c>
      <c r="E21" s="41" t="s">
        <v>26</v>
      </c>
      <c r="F21" s="16" t="s">
        <v>23</v>
      </c>
      <c r="G21" s="16" t="s">
        <v>17</v>
      </c>
      <c r="H21" s="16" t="s">
        <v>15</v>
      </c>
      <c r="I21" s="16" t="s">
        <v>16</v>
      </c>
      <c r="J21" s="17"/>
      <c r="K21" s="42"/>
      <c r="L21" s="41" t="s">
        <v>16</v>
      </c>
      <c r="M21" s="16" t="s">
        <v>17</v>
      </c>
      <c r="N21" s="16" t="s">
        <v>15</v>
      </c>
      <c r="O21" s="16" t="s">
        <v>27</v>
      </c>
      <c r="P21" s="16" t="s">
        <v>26</v>
      </c>
      <c r="Q21" s="16" t="s">
        <v>19</v>
      </c>
      <c r="R21" s="43" t="s">
        <v>19</v>
      </c>
      <c r="S21" s="41" t="s">
        <v>17</v>
      </c>
      <c r="T21" s="16" t="s">
        <v>15</v>
      </c>
      <c r="U21" s="16" t="s">
        <v>16</v>
      </c>
      <c r="V21" s="16" t="s">
        <v>18</v>
      </c>
      <c r="W21" s="16" t="s">
        <v>20</v>
      </c>
      <c r="X21" s="17"/>
      <c r="Y21" s="42"/>
      <c r="Z21" s="41" t="s">
        <v>23</v>
      </c>
      <c r="AA21" s="16" t="s">
        <v>24</v>
      </c>
      <c r="AB21" s="16" t="s">
        <v>15</v>
      </c>
      <c r="AC21" s="16" t="s">
        <v>20</v>
      </c>
      <c r="AD21" s="16" t="s">
        <v>27</v>
      </c>
      <c r="AE21" s="17"/>
      <c r="AF21" s="42"/>
      <c r="AG21" s="41" t="s">
        <v>23</v>
      </c>
      <c r="AH21" s="16" t="s">
        <v>22</v>
      </c>
      <c r="AI21" s="76" t="s">
        <v>21</v>
      </c>
      <c r="AJ21" s="16" t="s">
        <v>15</v>
      </c>
      <c r="AK21" s="16" t="s">
        <v>21</v>
      </c>
      <c r="AL21" s="16" t="s">
        <v>18</v>
      </c>
      <c r="AM21" s="43" t="s">
        <v>23</v>
      </c>
      <c r="AN21" s="44"/>
      <c r="AO21" s="18"/>
      <c r="AP21" s="19">
        <f t="shared" si="0"/>
        <v>5</v>
      </c>
      <c r="AQ21" s="19">
        <f t="shared" si="1"/>
        <v>3</v>
      </c>
      <c r="AR21" s="19">
        <f t="shared" si="2"/>
        <v>3</v>
      </c>
      <c r="AS21" s="19">
        <f t="shared" si="3"/>
        <v>2</v>
      </c>
      <c r="AT21" s="19">
        <f t="shared" si="13"/>
        <v>2</v>
      </c>
      <c r="AU21" s="19">
        <f t="shared" si="11"/>
        <v>2</v>
      </c>
      <c r="AV21" s="19">
        <f t="shared" si="12"/>
        <v>2</v>
      </c>
      <c r="AW21" s="19">
        <f t="shared" si="4"/>
        <v>1</v>
      </c>
      <c r="AX21" s="19">
        <f t="shared" si="5"/>
        <v>4</v>
      </c>
      <c r="AY21" s="19">
        <f t="shared" si="6"/>
        <v>1</v>
      </c>
      <c r="AZ21" s="19">
        <f t="shared" si="7"/>
        <v>0</v>
      </c>
      <c r="BA21" s="19">
        <f t="shared" si="8"/>
        <v>2</v>
      </c>
      <c r="BB21" s="19">
        <f t="shared" si="9"/>
        <v>2</v>
      </c>
      <c r="BC21" s="15">
        <f t="shared" si="10"/>
        <v>29</v>
      </c>
      <c r="BD21" s="12"/>
      <c r="BE21" s="12"/>
      <c r="BF21" s="12"/>
      <c r="BG21" s="12"/>
      <c r="BH21" s="12"/>
    </row>
    <row r="22" spans="1:60" ht="28.5" customHeight="1">
      <c r="A22" s="134">
        <v>7</v>
      </c>
      <c r="B22" s="13">
        <v>18</v>
      </c>
      <c r="C22" s="13" t="s">
        <v>51</v>
      </c>
      <c r="D22" s="40">
        <v>5</v>
      </c>
      <c r="E22" s="41" t="s">
        <v>26</v>
      </c>
      <c r="F22" s="16" t="s">
        <v>23</v>
      </c>
      <c r="G22" s="16" t="s">
        <v>17</v>
      </c>
      <c r="H22" s="16" t="s">
        <v>15</v>
      </c>
      <c r="I22" s="16" t="s">
        <v>16</v>
      </c>
      <c r="J22" s="17"/>
      <c r="K22" s="42"/>
      <c r="L22" s="41" t="s">
        <v>16</v>
      </c>
      <c r="M22" s="16" t="s">
        <v>17</v>
      </c>
      <c r="N22" s="16" t="s">
        <v>15</v>
      </c>
      <c r="O22" s="16" t="s">
        <v>27</v>
      </c>
      <c r="P22" s="16" t="s">
        <v>26</v>
      </c>
      <c r="Q22" s="16" t="s">
        <v>19</v>
      </c>
      <c r="R22" s="43" t="s">
        <v>19</v>
      </c>
      <c r="S22" s="41" t="s">
        <v>17</v>
      </c>
      <c r="T22" s="16" t="s">
        <v>15</v>
      </c>
      <c r="U22" s="16" t="s">
        <v>16</v>
      </c>
      <c r="V22" s="16" t="s">
        <v>18</v>
      </c>
      <c r="W22" s="16" t="s">
        <v>20</v>
      </c>
      <c r="X22" s="17"/>
      <c r="Y22" s="42"/>
      <c r="Z22" s="41" t="s">
        <v>23</v>
      </c>
      <c r="AA22" s="16" t="s">
        <v>24</v>
      </c>
      <c r="AB22" s="16" t="s">
        <v>15</v>
      </c>
      <c r="AC22" s="16" t="s">
        <v>20</v>
      </c>
      <c r="AD22" s="16" t="s">
        <v>27</v>
      </c>
      <c r="AE22" s="17"/>
      <c r="AF22" s="42"/>
      <c r="AG22" s="41" t="s">
        <v>23</v>
      </c>
      <c r="AH22" s="16" t="s">
        <v>22</v>
      </c>
      <c r="AI22" s="76" t="s">
        <v>21</v>
      </c>
      <c r="AJ22" s="16" t="s">
        <v>15</v>
      </c>
      <c r="AK22" s="16" t="s">
        <v>21</v>
      </c>
      <c r="AL22" s="16" t="s">
        <v>18</v>
      </c>
      <c r="AM22" s="43" t="s">
        <v>23</v>
      </c>
      <c r="AN22" s="44"/>
      <c r="AO22" s="18"/>
      <c r="AP22" s="19">
        <f t="shared" si="0"/>
        <v>5</v>
      </c>
      <c r="AQ22" s="19">
        <f t="shared" si="1"/>
        <v>3</v>
      </c>
      <c r="AR22" s="19">
        <f t="shared" si="2"/>
        <v>3</v>
      </c>
      <c r="AS22" s="19">
        <f t="shared" si="3"/>
        <v>2</v>
      </c>
      <c r="AT22" s="19">
        <f t="shared" si="13"/>
        <v>2</v>
      </c>
      <c r="AU22" s="19">
        <f t="shared" si="11"/>
        <v>2</v>
      </c>
      <c r="AV22" s="19">
        <f t="shared" si="12"/>
        <v>2</v>
      </c>
      <c r="AW22" s="19">
        <f t="shared" si="4"/>
        <v>1</v>
      </c>
      <c r="AX22" s="19">
        <f t="shared" si="5"/>
        <v>4</v>
      </c>
      <c r="AY22" s="19">
        <f t="shared" si="6"/>
        <v>1</v>
      </c>
      <c r="AZ22" s="19">
        <f t="shared" si="7"/>
        <v>0</v>
      </c>
      <c r="BA22" s="19">
        <f t="shared" si="8"/>
        <v>2</v>
      </c>
      <c r="BB22" s="19">
        <f t="shared" si="9"/>
        <v>2</v>
      </c>
      <c r="BC22" s="15">
        <f t="shared" si="10"/>
        <v>29</v>
      </c>
      <c r="BD22" s="12"/>
      <c r="BE22" s="12"/>
      <c r="BF22" s="12"/>
      <c r="BG22" s="12"/>
      <c r="BH22" s="12"/>
    </row>
    <row r="23" spans="1:60" ht="28.5" customHeight="1">
      <c r="A23" s="185"/>
      <c r="B23" s="13">
        <v>19</v>
      </c>
      <c r="C23" s="20" t="s">
        <v>52</v>
      </c>
      <c r="D23" s="40">
        <v>5</v>
      </c>
      <c r="E23" s="41" t="s">
        <v>26</v>
      </c>
      <c r="F23" s="16" t="s">
        <v>23</v>
      </c>
      <c r="G23" s="16" t="s">
        <v>17</v>
      </c>
      <c r="H23" s="16" t="s">
        <v>15</v>
      </c>
      <c r="I23" s="16" t="s">
        <v>16</v>
      </c>
      <c r="J23" s="17"/>
      <c r="K23" s="42"/>
      <c r="L23" s="41" t="s">
        <v>16</v>
      </c>
      <c r="M23" s="16" t="s">
        <v>17</v>
      </c>
      <c r="N23" s="16" t="s">
        <v>15</v>
      </c>
      <c r="O23" s="16" t="s">
        <v>27</v>
      </c>
      <c r="P23" s="16" t="s">
        <v>26</v>
      </c>
      <c r="Q23" s="16" t="s">
        <v>19</v>
      </c>
      <c r="R23" s="43" t="s">
        <v>19</v>
      </c>
      <c r="S23" s="41" t="s">
        <v>17</v>
      </c>
      <c r="T23" s="16" t="s">
        <v>15</v>
      </c>
      <c r="U23" s="16" t="s">
        <v>16</v>
      </c>
      <c r="V23" s="80" t="s">
        <v>20</v>
      </c>
      <c r="W23" s="16" t="s">
        <v>20</v>
      </c>
      <c r="X23" s="17"/>
      <c r="Y23" s="42"/>
      <c r="Z23" s="77" t="s">
        <v>25</v>
      </c>
      <c r="AA23" s="16" t="s">
        <v>24</v>
      </c>
      <c r="AB23" s="76" t="s">
        <v>27</v>
      </c>
      <c r="AC23" s="16" t="s">
        <v>20</v>
      </c>
      <c r="AD23" s="16" t="s">
        <v>27</v>
      </c>
      <c r="AE23" s="17"/>
      <c r="AF23" s="42"/>
      <c r="AG23" s="41" t="s">
        <v>23</v>
      </c>
      <c r="AH23" s="16" t="s">
        <v>22</v>
      </c>
      <c r="AI23" s="76" t="s">
        <v>21</v>
      </c>
      <c r="AJ23" s="16" t="s">
        <v>15</v>
      </c>
      <c r="AK23" s="16" t="s">
        <v>21</v>
      </c>
      <c r="AL23" s="16" t="s">
        <v>18</v>
      </c>
      <c r="AM23" s="43" t="s">
        <v>23</v>
      </c>
      <c r="AN23" s="44"/>
      <c r="AO23" s="18"/>
      <c r="AP23" s="19">
        <f t="shared" si="0"/>
        <v>4</v>
      </c>
      <c r="AQ23" s="19">
        <f t="shared" si="1"/>
        <v>3</v>
      </c>
      <c r="AR23" s="19">
        <f t="shared" si="2"/>
        <v>3</v>
      </c>
      <c r="AS23" s="19">
        <f t="shared" si="3"/>
        <v>1</v>
      </c>
      <c r="AT23" s="19">
        <f t="shared" si="13"/>
        <v>2</v>
      </c>
      <c r="AU23" s="19">
        <f t="shared" si="11"/>
        <v>3</v>
      </c>
      <c r="AV23" s="19">
        <f t="shared" si="12"/>
        <v>2</v>
      </c>
      <c r="AW23" s="19">
        <f t="shared" si="4"/>
        <v>1</v>
      </c>
      <c r="AX23" s="19">
        <f t="shared" si="5"/>
        <v>3</v>
      </c>
      <c r="AY23" s="19">
        <f t="shared" si="6"/>
        <v>1</v>
      </c>
      <c r="AZ23" s="19">
        <f t="shared" si="7"/>
        <v>1</v>
      </c>
      <c r="BA23" s="19">
        <f t="shared" si="8"/>
        <v>2</v>
      </c>
      <c r="BB23" s="19">
        <f t="shared" si="9"/>
        <v>3</v>
      </c>
      <c r="BC23" s="15">
        <f t="shared" si="10"/>
        <v>29</v>
      </c>
      <c r="BD23" s="12"/>
      <c r="BE23" s="12"/>
      <c r="BF23" s="12"/>
      <c r="BG23" s="12"/>
      <c r="BH23" s="12"/>
    </row>
    <row r="24" spans="1:60" ht="28.5" customHeight="1">
      <c r="A24" s="185"/>
      <c r="B24" s="13">
        <v>20</v>
      </c>
      <c r="C24" s="20" t="s">
        <v>53</v>
      </c>
      <c r="D24" s="40">
        <v>4</v>
      </c>
      <c r="E24" s="41" t="s">
        <v>26</v>
      </c>
      <c r="F24" s="16" t="s">
        <v>23</v>
      </c>
      <c r="G24" s="16" t="s">
        <v>17</v>
      </c>
      <c r="H24" s="16" t="s">
        <v>15</v>
      </c>
      <c r="I24" s="16" t="s">
        <v>16</v>
      </c>
      <c r="J24" s="17"/>
      <c r="K24" s="42"/>
      <c r="L24" s="41" t="s">
        <v>16</v>
      </c>
      <c r="M24" s="16" t="s">
        <v>17</v>
      </c>
      <c r="N24" s="16" t="s">
        <v>15</v>
      </c>
      <c r="O24" s="16" t="s">
        <v>27</v>
      </c>
      <c r="P24" s="16" t="s">
        <v>26</v>
      </c>
      <c r="Q24" s="16" t="s">
        <v>19</v>
      </c>
      <c r="R24" s="43" t="s">
        <v>19</v>
      </c>
      <c r="S24" s="41" t="s">
        <v>17</v>
      </c>
      <c r="T24" s="16" t="s">
        <v>15</v>
      </c>
      <c r="U24" s="16" t="s">
        <v>16</v>
      </c>
      <c r="V24" s="76" t="s">
        <v>20</v>
      </c>
      <c r="W24" s="16" t="s">
        <v>20</v>
      </c>
      <c r="X24" s="17"/>
      <c r="Y24" s="42"/>
      <c r="Z24" s="41" t="s">
        <v>23</v>
      </c>
      <c r="AA24" s="76" t="s">
        <v>22</v>
      </c>
      <c r="AB24" s="76" t="s">
        <v>27</v>
      </c>
      <c r="AC24" s="16" t="s">
        <v>20</v>
      </c>
      <c r="AD24" s="16" t="s">
        <v>27</v>
      </c>
      <c r="AE24" s="17"/>
      <c r="AF24" s="42"/>
      <c r="AG24" s="135" t="s">
        <v>54</v>
      </c>
      <c r="AH24" s="187"/>
      <c r="AI24" s="187"/>
      <c r="AJ24" s="187"/>
      <c r="AK24" s="187"/>
      <c r="AL24" s="187"/>
      <c r="AM24" s="188"/>
      <c r="AN24" s="44"/>
      <c r="AO24" s="18"/>
      <c r="AP24" s="19">
        <f t="shared" si="0"/>
        <v>3</v>
      </c>
      <c r="AQ24" s="19">
        <f t="shared" si="1"/>
        <v>3</v>
      </c>
      <c r="AR24" s="19">
        <f t="shared" si="2"/>
        <v>3</v>
      </c>
      <c r="AS24" s="19">
        <f t="shared" si="3"/>
        <v>0</v>
      </c>
      <c r="AT24" s="19">
        <f t="shared" si="13"/>
        <v>2</v>
      </c>
      <c r="AU24" s="19">
        <f t="shared" si="11"/>
        <v>3</v>
      </c>
      <c r="AV24" s="19">
        <f t="shared" si="12"/>
        <v>0</v>
      </c>
      <c r="AW24" s="19">
        <f t="shared" si="4"/>
        <v>1</v>
      </c>
      <c r="AX24" s="19">
        <f t="shared" si="5"/>
        <v>2</v>
      </c>
      <c r="AY24" s="19">
        <f t="shared" si="6"/>
        <v>0</v>
      </c>
      <c r="AZ24" s="19">
        <f t="shared" si="7"/>
        <v>0</v>
      </c>
      <c r="BA24" s="19">
        <f t="shared" si="8"/>
        <v>2</v>
      </c>
      <c r="BB24" s="19">
        <f t="shared" si="9"/>
        <v>3</v>
      </c>
      <c r="BC24" s="15">
        <f t="shared" si="10"/>
        <v>22</v>
      </c>
      <c r="BD24" s="12"/>
      <c r="BE24" s="12"/>
      <c r="BF24" s="12"/>
      <c r="BG24" s="12"/>
      <c r="BH24" s="12"/>
    </row>
    <row r="25" spans="1:60" ht="28.5" customHeight="1">
      <c r="A25" s="185"/>
      <c r="B25" s="30">
        <v>21</v>
      </c>
      <c r="C25" s="55" t="s">
        <v>55</v>
      </c>
      <c r="D25" s="73">
        <v>5</v>
      </c>
      <c r="E25" s="41" t="s">
        <v>26</v>
      </c>
      <c r="F25" s="16" t="s">
        <v>23</v>
      </c>
      <c r="G25" s="16" t="s">
        <v>17</v>
      </c>
      <c r="H25" s="16" t="s">
        <v>15</v>
      </c>
      <c r="I25" s="16" t="s">
        <v>16</v>
      </c>
      <c r="J25" s="17"/>
      <c r="K25" s="42"/>
      <c r="L25" s="41" t="s">
        <v>16</v>
      </c>
      <c r="M25" s="16" t="s">
        <v>17</v>
      </c>
      <c r="N25" s="16" t="s">
        <v>15</v>
      </c>
      <c r="O25" s="16" t="s">
        <v>27</v>
      </c>
      <c r="P25" s="16" t="s">
        <v>26</v>
      </c>
      <c r="Q25" s="76" t="s">
        <v>23</v>
      </c>
      <c r="R25" s="79" t="s">
        <v>23</v>
      </c>
      <c r="S25" s="41" t="s">
        <v>17</v>
      </c>
      <c r="T25" s="16" t="s">
        <v>15</v>
      </c>
      <c r="U25" s="16" t="s">
        <v>16</v>
      </c>
      <c r="V25" s="76" t="s">
        <v>20</v>
      </c>
      <c r="W25" s="16" t="s">
        <v>20</v>
      </c>
      <c r="X25" s="17"/>
      <c r="Y25" s="42"/>
      <c r="Z25" s="41" t="s">
        <v>23</v>
      </c>
      <c r="AA25" s="76" t="s">
        <v>22</v>
      </c>
      <c r="AB25" s="76" t="s">
        <v>27</v>
      </c>
      <c r="AC25" s="16" t="s">
        <v>20</v>
      </c>
      <c r="AD25" s="16" t="s">
        <v>27</v>
      </c>
      <c r="AE25" s="17"/>
      <c r="AF25" s="42"/>
      <c r="AG25" s="41" t="s">
        <v>23</v>
      </c>
      <c r="AH25" s="16" t="s">
        <v>22</v>
      </c>
      <c r="AI25" s="76" t="s">
        <v>21</v>
      </c>
      <c r="AJ25" s="16" t="s">
        <v>15</v>
      </c>
      <c r="AK25" s="136" t="s">
        <v>56</v>
      </c>
      <c r="AL25" s="137"/>
      <c r="AM25" s="138"/>
      <c r="AN25" s="66"/>
      <c r="AO25" s="18"/>
      <c r="AP25" s="19">
        <f t="shared" si="0"/>
        <v>4</v>
      </c>
      <c r="AQ25" s="19">
        <f t="shared" si="1"/>
        <v>3</v>
      </c>
      <c r="AR25" s="19">
        <f t="shared" si="2"/>
        <v>3</v>
      </c>
      <c r="AS25" s="19">
        <f t="shared" si="3"/>
        <v>0</v>
      </c>
      <c r="AT25" s="19">
        <f t="shared" si="13"/>
        <v>0</v>
      </c>
      <c r="AU25" s="19">
        <f t="shared" si="11"/>
        <v>3</v>
      </c>
      <c r="AV25" s="19">
        <f t="shared" si="12"/>
        <v>1</v>
      </c>
      <c r="AW25" s="19">
        <f t="shared" si="4"/>
        <v>2</v>
      </c>
      <c r="AX25" s="19">
        <f t="shared" si="5"/>
        <v>5</v>
      </c>
      <c r="AY25" s="19">
        <f t="shared" si="6"/>
        <v>0</v>
      </c>
      <c r="AZ25" s="19">
        <f t="shared" si="7"/>
        <v>0</v>
      </c>
      <c r="BA25" s="19">
        <f t="shared" si="8"/>
        <v>2</v>
      </c>
      <c r="BB25" s="19">
        <f t="shared" si="9"/>
        <v>3</v>
      </c>
      <c r="BC25" s="15">
        <f t="shared" si="10"/>
        <v>26</v>
      </c>
      <c r="BD25" s="12"/>
      <c r="BE25" s="12"/>
      <c r="BF25" s="12"/>
      <c r="BG25" s="12"/>
      <c r="BH25" s="12"/>
    </row>
    <row r="26" spans="1:60" ht="31.5" customHeight="1">
      <c r="A26" s="139" t="s">
        <v>57</v>
      </c>
      <c r="B26" s="189"/>
      <c r="C26" s="190"/>
      <c r="D26" s="74">
        <f>SUM(D5:D25)</f>
        <v>98</v>
      </c>
      <c r="E26" s="139">
        <v>18</v>
      </c>
      <c r="F26" s="189"/>
      <c r="G26" s="189"/>
      <c r="H26" s="189"/>
      <c r="I26" s="189"/>
      <c r="J26" s="189"/>
      <c r="K26" s="191"/>
      <c r="L26" s="139">
        <v>20</v>
      </c>
      <c r="M26" s="189"/>
      <c r="N26" s="189"/>
      <c r="O26" s="189"/>
      <c r="P26" s="189"/>
      <c r="Q26" s="189"/>
      <c r="R26" s="191"/>
      <c r="S26" s="139">
        <v>20</v>
      </c>
      <c r="T26" s="189"/>
      <c r="U26" s="189"/>
      <c r="V26" s="189"/>
      <c r="W26" s="189"/>
      <c r="X26" s="189"/>
      <c r="Y26" s="191"/>
      <c r="Z26" s="139">
        <v>21</v>
      </c>
      <c r="AA26" s="189"/>
      <c r="AB26" s="189"/>
      <c r="AC26" s="189"/>
      <c r="AD26" s="189"/>
      <c r="AE26" s="189"/>
      <c r="AF26" s="191"/>
      <c r="AG26" s="139">
        <v>19</v>
      </c>
      <c r="AH26" s="189"/>
      <c r="AI26" s="189"/>
      <c r="AJ26" s="189"/>
      <c r="AK26" s="189"/>
      <c r="AL26" s="189"/>
      <c r="AM26" s="191"/>
      <c r="AN26" s="75">
        <f>SUM(E26:AM26)</f>
        <v>98</v>
      </c>
      <c r="AO26" s="21"/>
      <c r="AP26" s="15">
        <f t="shared" ref="AP26:BB26" si="14">SUM(AP5:AP25)</f>
        <v>87</v>
      </c>
      <c r="AQ26" s="15">
        <f t="shared" si="14"/>
        <v>51</v>
      </c>
      <c r="AR26" s="15">
        <f t="shared" si="14"/>
        <v>54</v>
      </c>
      <c r="AS26" s="15">
        <f t="shared" si="14"/>
        <v>35</v>
      </c>
      <c r="AT26" s="15">
        <f t="shared" si="14"/>
        <v>34</v>
      </c>
      <c r="AU26" s="15">
        <f t="shared" si="14"/>
        <v>45</v>
      </c>
      <c r="AV26" s="15">
        <f t="shared" si="14"/>
        <v>31</v>
      </c>
      <c r="AW26" s="15">
        <f t="shared" si="14"/>
        <v>31</v>
      </c>
      <c r="AX26" s="15">
        <f t="shared" si="14"/>
        <v>85</v>
      </c>
      <c r="AY26" s="15">
        <f t="shared" si="14"/>
        <v>17</v>
      </c>
      <c r="AZ26" s="15">
        <f t="shared" si="14"/>
        <v>4</v>
      </c>
      <c r="BA26" s="15">
        <f t="shared" si="14"/>
        <v>44</v>
      </c>
      <c r="BB26" s="15">
        <f t="shared" si="14"/>
        <v>43</v>
      </c>
      <c r="BC26" s="15">
        <f t="shared" si="10"/>
        <v>561</v>
      </c>
      <c r="BD26" s="12"/>
      <c r="BE26" s="12"/>
      <c r="BF26" s="12"/>
      <c r="BG26" s="12"/>
      <c r="BH26" s="12"/>
    </row>
    <row r="27" spans="1:60" ht="12.75" customHeight="1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22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11"/>
      <c r="BC27" s="12"/>
      <c r="BD27" s="12"/>
      <c r="BE27" s="12"/>
      <c r="BF27" s="12"/>
      <c r="BG27" s="12"/>
    </row>
    <row r="28" spans="1:60" ht="28.5" customHeight="1">
      <c r="A28" s="121" t="s">
        <v>3</v>
      </c>
      <c r="B28" s="122" t="s">
        <v>4</v>
      </c>
      <c r="C28" s="122" t="s">
        <v>5</v>
      </c>
      <c r="D28" s="123" t="s">
        <v>6</v>
      </c>
      <c r="E28" s="124" t="s">
        <v>7</v>
      </c>
      <c r="F28" s="176"/>
      <c r="G28" s="176"/>
      <c r="H28" s="176"/>
      <c r="I28" s="176"/>
      <c r="J28" s="176"/>
      <c r="K28" s="177"/>
      <c r="L28" s="124" t="s">
        <v>8</v>
      </c>
      <c r="M28" s="176"/>
      <c r="N28" s="176"/>
      <c r="O28" s="176"/>
      <c r="P28" s="176"/>
      <c r="Q28" s="176"/>
      <c r="R28" s="177"/>
      <c r="S28" s="124" t="s">
        <v>9</v>
      </c>
      <c r="T28" s="176"/>
      <c r="U28" s="176"/>
      <c r="V28" s="176"/>
      <c r="W28" s="176"/>
      <c r="X28" s="176"/>
      <c r="Y28" s="177"/>
      <c r="Z28" s="124" t="s">
        <v>10</v>
      </c>
      <c r="AA28" s="176"/>
      <c r="AB28" s="176"/>
      <c r="AC28" s="176"/>
      <c r="AD28" s="176"/>
      <c r="AE28" s="176"/>
      <c r="AF28" s="177"/>
      <c r="AG28" s="124" t="s">
        <v>11</v>
      </c>
      <c r="AH28" s="176"/>
      <c r="AI28" s="176"/>
      <c r="AJ28" s="176"/>
      <c r="AK28" s="176"/>
      <c r="AL28" s="176"/>
      <c r="AM28" s="177"/>
      <c r="AN28" s="125" t="s">
        <v>12</v>
      </c>
      <c r="AO28" s="126"/>
      <c r="AP28" s="10"/>
      <c r="AQ28" s="10"/>
      <c r="AR28" s="10"/>
      <c r="AS28" s="10"/>
      <c r="AT28" s="10"/>
      <c r="AU28" s="10"/>
      <c r="AV28" s="10"/>
      <c r="AW28" s="12"/>
      <c r="AX28" s="127" t="s">
        <v>13</v>
      </c>
      <c r="AY28" s="178"/>
      <c r="AZ28" s="178"/>
      <c r="BA28" s="128" t="s">
        <v>14</v>
      </c>
      <c r="BB28" s="178"/>
      <c r="BC28" s="12"/>
      <c r="BD28" s="12"/>
      <c r="BE28" s="12"/>
      <c r="BF28" s="12"/>
      <c r="BG28" s="12"/>
    </row>
    <row r="29" spans="1:60" ht="28.5" customHeight="1">
      <c r="A29" s="179"/>
      <c r="B29" s="180"/>
      <c r="C29" s="180"/>
      <c r="D29" s="181"/>
      <c r="E29" s="46">
        <v>1</v>
      </c>
      <c r="F29" s="47">
        <v>2</v>
      </c>
      <c r="G29" s="47">
        <v>3</v>
      </c>
      <c r="H29" s="47">
        <v>4</v>
      </c>
      <c r="I29" s="47">
        <v>5</v>
      </c>
      <c r="J29" s="47">
        <v>6</v>
      </c>
      <c r="K29" s="48">
        <v>7</v>
      </c>
      <c r="L29" s="46">
        <v>1</v>
      </c>
      <c r="M29" s="47">
        <v>2</v>
      </c>
      <c r="N29" s="47">
        <v>3</v>
      </c>
      <c r="O29" s="47">
        <v>4</v>
      </c>
      <c r="P29" s="47">
        <v>5</v>
      </c>
      <c r="Q29" s="47">
        <v>6</v>
      </c>
      <c r="R29" s="48">
        <v>7</v>
      </c>
      <c r="S29" s="46">
        <v>1</v>
      </c>
      <c r="T29" s="47">
        <v>2</v>
      </c>
      <c r="U29" s="47">
        <v>3</v>
      </c>
      <c r="V29" s="47">
        <v>4</v>
      </c>
      <c r="W29" s="47">
        <v>5</v>
      </c>
      <c r="X29" s="47">
        <v>6</v>
      </c>
      <c r="Y29" s="48">
        <v>7</v>
      </c>
      <c r="Z29" s="46">
        <v>1</v>
      </c>
      <c r="AA29" s="47">
        <v>2</v>
      </c>
      <c r="AB29" s="47">
        <v>3</v>
      </c>
      <c r="AC29" s="47">
        <v>4</v>
      </c>
      <c r="AD29" s="47">
        <v>5</v>
      </c>
      <c r="AE29" s="47">
        <v>6</v>
      </c>
      <c r="AF29" s="48">
        <v>7</v>
      </c>
      <c r="AG29" s="46">
        <v>1</v>
      </c>
      <c r="AH29" s="47">
        <v>2</v>
      </c>
      <c r="AI29" s="47">
        <v>3</v>
      </c>
      <c r="AJ29" s="47">
        <v>4</v>
      </c>
      <c r="AK29" s="47">
        <v>5</v>
      </c>
      <c r="AL29" s="47">
        <v>6</v>
      </c>
      <c r="AM29" s="48">
        <v>7</v>
      </c>
      <c r="AN29" s="182"/>
      <c r="AO29" s="126"/>
      <c r="AP29" s="14" t="s">
        <v>15</v>
      </c>
      <c r="AQ29" s="14" t="s">
        <v>16</v>
      </c>
      <c r="AR29" s="14" t="s">
        <v>17</v>
      </c>
      <c r="AS29" s="14" t="s">
        <v>18</v>
      </c>
      <c r="AT29" s="14" t="s">
        <v>19</v>
      </c>
      <c r="AU29" s="14" t="s">
        <v>20</v>
      </c>
      <c r="AV29" s="34" t="s">
        <v>21</v>
      </c>
      <c r="AW29" s="36" t="s">
        <v>22</v>
      </c>
      <c r="AX29" s="37" t="s">
        <v>23</v>
      </c>
      <c r="AY29" s="35" t="s">
        <v>24</v>
      </c>
      <c r="AZ29" s="35" t="s">
        <v>25</v>
      </c>
      <c r="BA29" s="35" t="s">
        <v>26</v>
      </c>
      <c r="BB29" s="35" t="s">
        <v>27</v>
      </c>
      <c r="BC29" s="15" t="s">
        <v>28</v>
      </c>
      <c r="BD29" s="12"/>
      <c r="BE29" s="12"/>
      <c r="BF29" s="12"/>
      <c r="BG29" s="12"/>
      <c r="BH29" s="12"/>
    </row>
    <row r="30" spans="1:60" ht="28.5" customHeight="1">
      <c r="A30" s="129">
        <v>8</v>
      </c>
      <c r="B30" s="69">
        <v>22</v>
      </c>
      <c r="C30" s="49" t="s">
        <v>58</v>
      </c>
      <c r="D30" s="70">
        <v>4</v>
      </c>
      <c r="E30" s="71"/>
      <c r="F30" s="29"/>
      <c r="G30" s="29"/>
      <c r="H30" s="29"/>
      <c r="I30" s="29"/>
      <c r="J30" s="29"/>
      <c r="K30" s="52"/>
      <c r="L30" s="78" t="s">
        <v>26</v>
      </c>
      <c r="M30" s="16" t="s">
        <v>17</v>
      </c>
      <c r="N30" s="16" t="s">
        <v>15</v>
      </c>
      <c r="O30" s="16" t="s">
        <v>27</v>
      </c>
      <c r="P30" s="131" t="s">
        <v>59</v>
      </c>
      <c r="Q30" s="132"/>
      <c r="R30" s="133"/>
      <c r="S30" s="41" t="s">
        <v>17</v>
      </c>
      <c r="T30" s="76" t="s">
        <v>23</v>
      </c>
      <c r="U30" s="16" t="s">
        <v>16</v>
      </c>
      <c r="V30" s="16" t="s">
        <v>18</v>
      </c>
      <c r="W30" s="16" t="s">
        <v>20</v>
      </c>
      <c r="X30" s="17"/>
      <c r="Y30" s="42"/>
      <c r="Z30" s="41" t="s">
        <v>23</v>
      </c>
      <c r="AA30" s="76" t="s">
        <v>22</v>
      </c>
      <c r="AB30" s="76" t="s">
        <v>27</v>
      </c>
      <c r="AC30" s="16" t="s">
        <v>20</v>
      </c>
      <c r="AD30" s="16" t="s">
        <v>27</v>
      </c>
      <c r="AE30" s="17"/>
      <c r="AF30" s="42"/>
      <c r="AG30" s="41" t="s">
        <v>23</v>
      </c>
      <c r="AH30" s="16" t="s">
        <v>22</v>
      </c>
      <c r="AI30" s="76" t="s">
        <v>22</v>
      </c>
      <c r="AJ30" s="16" t="s">
        <v>15</v>
      </c>
      <c r="AK30" s="16" t="s">
        <v>21</v>
      </c>
      <c r="AL30" s="16" t="s">
        <v>18</v>
      </c>
      <c r="AM30" s="43" t="s">
        <v>23</v>
      </c>
      <c r="AN30" s="72"/>
      <c r="AO30" s="24"/>
      <c r="AP30" s="19">
        <f t="shared" ref="AP30:AP50" si="15">COUNTIF(E30:AM30,"=국")</f>
        <v>2</v>
      </c>
      <c r="AQ30" s="19">
        <f t="shared" ref="AQ30:AQ50" si="16">COUNTIF(E30:AM30,"=수")</f>
        <v>1</v>
      </c>
      <c r="AR30" s="19">
        <f t="shared" ref="AR30:AR50" si="17">COUNTIF(E30:AM30,"=사")</f>
        <v>2</v>
      </c>
      <c r="AS30" s="19">
        <f t="shared" ref="AS30:AS50" si="18">COUNTIF(E30:AM30,"=과")</f>
        <v>2</v>
      </c>
      <c r="AT30" s="19">
        <f>COUNTIF(D30:AL30,"=실")</f>
        <v>0</v>
      </c>
      <c r="AU30" s="19">
        <f t="shared" ref="AU30:AU50" si="19">COUNTIF(E30:AM30,"=체")</f>
        <v>2</v>
      </c>
      <c r="AV30" s="19">
        <f t="shared" ref="AV30:AV50" si="20">COUNTIF(E30:AM30,"=음")</f>
        <v>1</v>
      </c>
      <c r="AW30" s="38">
        <f t="shared" ref="AW30:AW50" si="21">COUNTIF(E30:AM30,"=미")</f>
        <v>3</v>
      </c>
      <c r="AX30" s="19">
        <f t="shared" ref="AX30:AX50" si="22">COUNTIF(E30:AM30,"=자")</f>
        <v>4</v>
      </c>
      <c r="AY30" s="19">
        <f t="shared" ref="AY30:AY50" si="23">COUNTIF(E30:AM30,"=동")</f>
        <v>0</v>
      </c>
      <c r="AZ30" s="19">
        <f t="shared" ref="AZ30:AZ50" si="24">COUNTIF(E30:AM30,"=진")</f>
        <v>0</v>
      </c>
      <c r="BA30" s="19">
        <f t="shared" ref="BA30:BA50" si="25">COUNTIF(E30:AM30,"=의")</f>
        <v>1</v>
      </c>
      <c r="BB30" s="19">
        <f t="shared" ref="BB30:BB50" si="26">COUNTIF(E30:AM30,"=선")</f>
        <v>3</v>
      </c>
      <c r="BC30" s="15">
        <f t="shared" ref="BC30:BC51" si="27">SUM(AP30:BB30)</f>
        <v>21</v>
      </c>
      <c r="BD30" s="12"/>
      <c r="BE30" s="12"/>
      <c r="BF30" s="12"/>
      <c r="BG30" s="12"/>
      <c r="BH30" s="12"/>
    </row>
    <row r="31" spans="1:60" ht="28.5" customHeight="1">
      <c r="A31" s="129"/>
      <c r="B31" s="20">
        <v>23</v>
      </c>
      <c r="C31" s="13" t="s">
        <v>60</v>
      </c>
      <c r="D31" s="56">
        <v>5</v>
      </c>
      <c r="E31" s="41" t="s">
        <v>26</v>
      </c>
      <c r="F31" s="16" t="s">
        <v>23</v>
      </c>
      <c r="G31" s="16" t="s">
        <v>17</v>
      </c>
      <c r="H31" s="16" t="s">
        <v>15</v>
      </c>
      <c r="I31" s="76" t="s">
        <v>23</v>
      </c>
      <c r="J31" s="17"/>
      <c r="K31" s="42"/>
      <c r="L31" s="78" t="s">
        <v>26</v>
      </c>
      <c r="M31" s="16" t="s">
        <v>17</v>
      </c>
      <c r="N31" s="76" t="s">
        <v>23</v>
      </c>
      <c r="O31" s="16" t="s">
        <v>27</v>
      </c>
      <c r="P31" s="16" t="s">
        <v>26</v>
      </c>
      <c r="Q31" s="16" t="s">
        <v>19</v>
      </c>
      <c r="R31" s="43" t="s">
        <v>19</v>
      </c>
      <c r="S31" s="78" t="s">
        <v>21</v>
      </c>
      <c r="T31" s="16" t="s">
        <v>15</v>
      </c>
      <c r="U31" s="16" t="s">
        <v>16</v>
      </c>
      <c r="V31" s="16" t="s">
        <v>18</v>
      </c>
      <c r="W31" s="16" t="s">
        <v>20</v>
      </c>
      <c r="X31" s="17"/>
      <c r="Y31" s="42"/>
      <c r="Z31" s="41" t="s">
        <v>23</v>
      </c>
      <c r="AA31" s="76" t="s">
        <v>22</v>
      </c>
      <c r="AB31" s="76" t="s">
        <v>27</v>
      </c>
      <c r="AC31" s="16" t="s">
        <v>20</v>
      </c>
      <c r="AD31" s="16" t="s">
        <v>27</v>
      </c>
      <c r="AE31" s="17"/>
      <c r="AF31" s="42"/>
      <c r="AG31" s="41" t="s">
        <v>23</v>
      </c>
      <c r="AH31" s="16" t="s">
        <v>22</v>
      </c>
      <c r="AI31" s="76" t="s">
        <v>22</v>
      </c>
      <c r="AJ31" s="16" t="s">
        <v>15</v>
      </c>
      <c r="AK31" s="16" t="s">
        <v>21</v>
      </c>
      <c r="AL31" s="16" t="s">
        <v>18</v>
      </c>
      <c r="AM31" s="43" t="s">
        <v>23</v>
      </c>
      <c r="AN31" s="44"/>
      <c r="AO31" s="24"/>
      <c r="AP31" s="19">
        <f t="shared" si="15"/>
        <v>3</v>
      </c>
      <c r="AQ31" s="19">
        <f t="shared" si="16"/>
        <v>1</v>
      </c>
      <c r="AR31" s="19">
        <f t="shared" si="17"/>
        <v>2</v>
      </c>
      <c r="AS31" s="19">
        <f t="shared" si="18"/>
        <v>2</v>
      </c>
      <c r="AT31" s="19">
        <f t="shared" ref="AT31:AT50" si="28">COUNTIF(D31:AL31,"=실")</f>
        <v>2</v>
      </c>
      <c r="AU31" s="19">
        <f t="shared" si="19"/>
        <v>2</v>
      </c>
      <c r="AV31" s="19">
        <f t="shared" si="20"/>
        <v>2</v>
      </c>
      <c r="AW31" s="19">
        <f t="shared" si="21"/>
        <v>3</v>
      </c>
      <c r="AX31" s="19">
        <f t="shared" si="22"/>
        <v>6</v>
      </c>
      <c r="AY31" s="19">
        <f t="shared" si="23"/>
        <v>0</v>
      </c>
      <c r="AZ31" s="19">
        <f t="shared" si="24"/>
        <v>0</v>
      </c>
      <c r="BA31" s="19">
        <f t="shared" si="25"/>
        <v>3</v>
      </c>
      <c r="BB31" s="19">
        <f t="shared" si="26"/>
        <v>3</v>
      </c>
      <c r="BC31" s="15">
        <f t="shared" si="27"/>
        <v>29</v>
      </c>
      <c r="BD31" s="12"/>
      <c r="BE31" s="12"/>
      <c r="BF31" s="12"/>
      <c r="BG31" s="12"/>
      <c r="BH31" s="12"/>
    </row>
    <row r="32" spans="1:60" ht="28.5" customHeight="1">
      <c r="A32" s="140">
        <v>9</v>
      </c>
      <c r="B32" s="20">
        <v>24</v>
      </c>
      <c r="C32" s="13" t="s">
        <v>61</v>
      </c>
      <c r="D32" s="56">
        <v>5</v>
      </c>
      <c r="E32" s="41" t="s">
        <v>26</v>
      </c>
      <c r="F32" s="16" t="s">
        <v>23</v>
      </c>
      <c r="G32" s="16" t="s">
        <v>17</v>
      </c>
      <c r="H32" s="16" t="s">
        <v>15</v>
      </c>
      <c r="I32" s="76" t="s">
        <v>23</v>
      </c>
      <c r="J32" s="17"/>
      <c r="K32" s="42"/>
      <c r="L32" s="78" t="s">
        <v>26</v>
      </c>
      <c r="M32" s="16" t="s">
        <v>17</v>
      </c>
      <c r="N32" s="76" t="s">
        <v>23</v>
      </c>
      <c r="O32" s="16" t="s">
        <v>27</v>
      </c>
      <c r="P32" s="16" t="s">
        <v>26</v>
      </c>
      <c r="Q32" s="16" t="s">
        <v>19</v>
      </c>
      <c r="R32" s="43" t="s">
        <v>19</v>
      </c>
      <c r="S32" s="78" t="s">
        <v>21</v>
      </c>
      <c r="T32" s="16" t="s">
        <v>15</v>
      </c>
      <c r="U32" s="16" t="s">
        <v>16</v>
      </c>
      <c r="V32" s="16" t="s">
        <v>18</v>
      </c>
      <c r="W32" s="16" t="s">
        <v>20</v>
      </c>
      <c r="X32" s="17"/>
      <c r="Y32" s="42"/>
      <c r="Z32" s="41" t="s">
        <v>23</v>
      </c>
      <c r="AA32" s="16" t="s">
        <v>24</v>
      </c>
      <c r="AB32" s="16" t="s">
        <v>15</v>
      </c>
      <c r="AC32" s="16" t="s">
        <v>20</v>
      </c>
      <c r="AD32" s="16" t="s">
        <v>27</v>
      </c>
      <c r="AE32" s="17"/>
      <c r="AF32" s="42"/>
      <c r="AG32" s="41" t="s">
        <v>23</v>
      </c>
      <c r="AH32" s="16" t="s">
        <v>22</v>
      </c>
      <c r="AI32" s="76" t="s">
        <v>22</v>
      </c>
      <c r="AJ32" s="16" t="s">
        <v>15</v>
      </c>
      <c r="AK32" s="16" t="s">
        <v>21</v>
      </c>
      <c r="AL32" s="16" t="s">
        <v>18</v>
      </c>
      <c r="AM32" s="43" t="s">
        <v>23</v>
      </c>
      <c r="AN32" s="44"/>
      <c r="AO32" s="24"/>
      <c r="AP32" s="19">
        <f t="shared" si="15"/>
        <v>4</v>
      </c>
      <c r="AQ32" s="19">
        <f t="shared" si="16"/>
        <v>1</v>
      </c>
      <c r="AR32" s="19">
        <f t="shared" si="17"/>
        <v>2</v>
      </c>
      <c r="AS32" s="19">
        <f t="shared" si="18"/>
        <v>2</v>
      </c>
      <c r="AT32" s="19">
        <f t="shared" si="28"/>
        <v>2</v>
      </c>
      <c r="AU32" s="19">
        <f t="shared" si="19"/>
        <v>2</v>
      </c>
      <c r="AV32" s="19">
        <f t="shared" si="20"/>
        <v>2</v>
      </c>
      <c r="AW32" s="19">
        <f t="shared" si="21"/>
        <v>2</v>
      </c>
      <c r="AX32" s="19">
        <f t="shared" si="22"/>
        <v>6</v>
      </c>
      <c r="AY32" s="19">
        <f t="shared" si="23"/>
        <v>1</v>
      </c>
      <c r="AZ32" s="19">
        <f t="shared" si="24"/>
        <v>0</v>
      </c>
      <c r="BA32" s="19">
        <f t="shared" si="25"/>
        <v>3</v>
      </c>
      <c r="BB32" s="19">
        <f t="shared" si="26"/>
        <v>2</v>
      </c>
      <c r="BC32" s="15">
        <f t="shared" si="27"/>
        <v>29</v>
      </c>
      <c r="BD32" s="12"/>
      <c r="BE32" s="12"/>
      <c r="BF32" s="12"/>
      <c r="BG32" s="12"/>
      <c r="BH32" s="12"/>
    </row>
    <row r="33" spans="1:60" ht="28.5" customHeight="1">
      <c r="A33" s="129"/>
      <c r="B33" s="20">
        <v>25</v>
      </c>
      <c r="C33" s="13" t="s">
        <v>62</v>
      </c>
      <c r="D33" s="56">
        <v>5</v>
      </c>
      <c r="E33" s="41" t="s">
        <v>26</v>
      </c>
      <c r="F33" s="16" t="s">
        <v>23</v>
      </c>
      <c r="G33" s="16" t="s">
        <v>17</v>
      </c>
      <c r="H33" s="16" t="s">
        <v>15</v>
      </c>
      <c r="I33" s="16" t="s">
        <v>16</v>
      </c>
      <c r="J33" s="17"/>
      <c r="K33" s="42"/>
      <c r="L33" s="78" t="s">
        <v>26</v>
      </c>
      <c r="M33" s="16" t="s">
        <v>17</v>
      </c>
      <c r="N33" s="76" t="s">
        <v>23</v>
      </c>
      <c r="O33" s="16" t="s">
        <v>27</v>
      </c>
      <c r="P33" s="16" t="s">
        <v>26</v>
      </c>
      <c r="Q33" s="16" t="s">
        <v>19</v>
      </c>
      <c r="R33" s="43" t="s">
        <v>19</v>
      </c>
      <c r="S33" s="78" t="s">
        <v>21</v>
      </c>
      <c r="T33" s="16" t="s">
        <v>15</v>
      </c>
      <c r="U33" s="16" t="s">
        <v>16</v>
      </c>
      <c r="V33" s="16" t="s">
        <v>18</v>
      </c>
      <c r="W33" s="16" t="s">
        <v>20</v>
      </c>
      <c r="X33" s="17"/>
      <c r="Y33" s="42"/>
      <c r="Z33" s="77" t="s">
        <v>25</v>
      </c>
      <c r="AA33" s="16" t="s">
        <v>24</v>
      </c>
      <c r="AB33" s="16" t="s">
        <v>15</v>
      </c>
      <c r="AC33" s="16" t="s">
        <v>20</v>
      </c>
      <c r="AD33" s="16" t="s">
        <v>27</v>
      </c>
      <c r="AE33" s="17"/>
      <c r="AF33" s="42"/>
      <c r="AG33" s="41" t="s">
        <v>23</v>
      </c>
      <c r="AH33" s="16" t="s">
        <v>22</v>
      </c>
      <c r="AI33" s="76" t="s">
        <v>22</v>
      </c>
      <c r="AJ33" s="16" t="s">
        <v>15</v>
      </c>
      <c r="AK33" s="16" t="s">
        <v>21</v>
      </c>
      <c r="AL33" s="16" t="s">
        <v>18</v>
      </c>
      <c r="AM33" s="43" t="s">
        <v>23</v>
      </c>
      <c r="AN33" s="44"/>
      <c r="AO33" s="24"/>
      <c r="AP33" s="19">
        <f t="shared" si="15"/>
        <v>4</v>
      </c>
      <c r="AQ33" s="19">
        <f t="shared" si="16"/>
        <v>2</v>
      </c>
      <c r="AR33" s="19">
        <f t="shared" si="17"/>
        <v>2</v>
      </c>
      <c r="AS33" s="19">
        <f t="shared" si="18"/>
        <v>2</v>
      </c>
      <c r="AT33" s="19">
        <f t="shared" si="28"/>
        <v>2</v>
      </c>
      <c r="AU33" s="19">
        <f t="shared" si="19"/>
        <v>2</v>
      </c>
      <c r="AV33" s="19">
        <f t="shared" si="20"/>
        <v>2</v>
      </c>
      <c r="AW33" s="19">
        <f t="shared" si="21"/>
        <v>2</v>
      </c>
      <c r="AX33" s="19">
        <f t="shared" si="22"/>
        <v>4</v>
      </c>
      <c r="AY33" s="19">
        <f t="shared" si="23"/>
        <v>1</v>
      </c>
      <c r="AZ33" s="19">
        <f t="shared" si="24"/>
        <v>1</v>
      </c>
      <c r="BA33" s="19">
        <f t="shared" si="25"/>
        <v>3</v>
      </c>
      <c r="BB33" s="19">
        <f t="shared" si="26"/>
        <v>2</v>
      </c>
      <c r="BC33" s="15">
        <f t="shared" si="27"/>
        <v>29</v>
      </c>
      <c r="BD33" s="12"/>
      <c r="BE33" s="12"/>
      <c r="BF33" s="12"/>
      <c r="BG33" s="12"/>
      <c r="BH33" s="12"/>
    </row>
    <row r="34" spans="1:60" ht="28.5" customHeight="1">
      <c r="A34" s="129"/>
      <c r="B34" s="20">
        <v>26</v>
      </c>
      <c r="C34" s="13" t="s">
        <v>63</v>
      </c>
      <c r="D34" s="56">
        <v>5</v>
      </c>
      <c r="E34" s="41" t="s">
        <v>26</v>
      </c>
      <c r="F34" s="16" t="s">
        <v>23</v>
      </c>
      <c r="G34" s="16" t="s">
        <v>17</v>
      </c>
      <c r="H34" s="16" t="s">
        <v>15</v>
      </c>
      <c r="I34" s="16" t="s">
        <v>16</v>
      </c>
      <c r="J34" s="17"/>
      <c r="K34" s="42"/>
      <c r="L34" s="41" t="s">
        <v>16</v>
      </c>
      <c r="M34" s="16" t="s">
        <v>17</v>
      </c>
      <c r="N34" s="76" t="s">
        <v>23</v>
      </c>
      <c r="O34" s="16" t="s">
        <v>27</v>
      </c>
      <c r="P34" s="16" t="s">
        <v>26</v>
      </c>
      <c r="Q34" s="16" t="s">
        <v>19</v>
      </c>
      <c r="R34" s="43" t="s">
        <v>19</v>
      </c>
      <c r="S34" s="78" t="s">
        <v>21</v>
      </c>
      <c r="T34" s="16" t="s">
        <v>15</v>
      </c>
      <c r="U34" s="16" t="s">
        <v>16</v>
      </c>
      <c r="V34" s="16" t="s">
        <v>18</v>
      </c>
      <c r="W34" s="16" t="s">
        <v>20</v>
      </c>
      <c r="X34" s="17"/>
      <c r="Y34" s="42"/>
      <c r="Z34" s="41" t="s">
        <v>23</v>
      </c>
      <c r="AA34" s="16" t="s">
        <v>24</v>
      </c>
      <c r="AB34" s="16" t="s">
        <v>15</v>
      </c>
      <c r="AC34" s="16" t="s">
        <v>20</v>
      </c>
      <c r="AD34" s="16" t="s">
        <v>27</v>
      </c>
      <c r="AE34" s="17"/>
      <c r="AF34" s="42"/>
      <c r="AG34" s="41" t="s">
        <v>23</v>
      </c>
      <c r="AH34" s="16" t="s">
        <v>22</v>
      </c>
      <c r="AI34" s="76" t="s">
        <v>22</v>
      </c>
      <c r="AJ34" s="16" t="s">
        <v>15</v>
      </c>
      <c r="AK34" s="16" t="s">
        <v>21</v>
      </c>
      <c r="AL34" s="16" t="s">
        <v>18</v>
      </c>
      <c r="AM34" s="43" t="s">
        <v>23</v>
      </c>
      <c r="AN34" s="44"/>
      <c r="AO34" s="24"/>
      <c r="AP34" s="19">
        <f t="shared" si="15"/>
        <v>4</v>
      </c>
      <c r="AQ34" s="19">
        <f t="shared" si="16"/>
        <v>3</v>
      </c>
      <c r="AR34" s="19">
        <f t="shared" si="17"/>
        <v>2</v>
      </c>
      <c r="AS34" s="19">
        <f t="shared" si="18"/>
        <v>2</v>
      </c>
      <c r="AT34" s="19">
        <f t="shared" si="28"/>
        <v>2</v>
      </c>
      <c r="AU34" s="19">
        <f t="shared" si="19"/>
        <v>2</v>
      </c>
      <c r="AV34" s="19">
        <f t="shared" si="20"/>
        <v>2</v>
      </c>
      <c r="AW34" s="19">
        <f t="shared" si="21"/>
        <v>2</v>
      </c>
      <c r="AX34" s="19">
        <f t="shared" si="22"/>
        <v>5</v>
      </c>
      <c r="AY34" s="19">
        <f t="shared" si="23"/>
        <v>1</v>
      </c>
      <c r="AZ34" s="19">
        <f t="shared" si="24"/>
        <v>0</v>
      </c>
      <c r="BA34" s="19">
        <f t="shared" si="25"/>
        <v>2</v>
      </c>
      <c r="BB34" s="19">
        <f t="shared" si="26"/>
        <v>2</v>
      </c>
      <c r="BC34" s="15">
        <f t="shared" si="27"/>
        <v>29</v>
      </c>
      <c r="BD34" s="12"/>
      <c r="BE34" s="12"/>
      <c r="BF34" s="12"/>
      <c r="BG34" s="12"/>
      <c r="BH34" s="12"/>
    </row>
    <row r="35" spans="1:60" ht="28.5" customHeight="1">
      <c r="A35" s="129"/>
      <c r="B35" s="20">
        <v>27</v>
      </c>
      <c r="C35" s="13" t="s">
        <v>64</v>
      </c>
      <c r="D35" s="56">
        <v>2</v>
      </c>
      <c r="E35" s="41" t="s">
        <v>26</v>
      </c>
      <c r="F35" s="16" t="s">
        <v>23</v>
      </c>
      <c r="G35" s="16" t="s">
        <v>17</v>
      </c>
      <c r="H35" s="16" t="s">
        <v>15</v>
      </c>
      <c r="I35" s="16" t="s">
        <v>16</v>
      </c>
      <c r="J35" s="17"/>
      <c r="K35" s="42"/>
      <c r="L35" s="41" t="s">
        <v>16</v>
      </c>
      <c r="M35" s="16" t="s">
        <v>17</v>
      </c>
      <c r="N35" s="76" t="s">
        <v>23</v>
      </c>
      <c r="O35" s="16" t="s">
        <v>27</v>
      </c>
      <c r="P35" s="16" t="s">
        <v>26</v>
      </c>
      <c r="Q35" s="16" t="s">
        <v>19</v>
      </c>
      <c r="R35" s="43" t="s">
        <v>19</v>
      </c>
      <c r="S35" s="135" t="s">
        <v>65</v>
      </c>
      <c r="T35" s="187"/>
      <c r="U35" s="187"/>
      <c r="V35" s="187"/>
      <c r="W35" s="187"/>
      <c r="X35" s="187"/>
      <c r="Y35" s="188"/>
      <c r="Z35" s="135" t="s">
        <v>66</v>
      </c>
      <c r="AA35" s="187"/>
      <c r="AB35" s="187"/>
      <c r="AC35" s="187"/>
      <c r="AD35" s="187"/>
      <c r="AE35" s="187"/>
      <c r="AF35" s="188"/>
      <c r="AG35" s="135" t="s">
        <v>67</v>
      </c>
      <c r="AH35" s="187"/>
      <c r="AI35" s="187"/>
      <c r="AJ35" s="187"/>
      <c r="AK35" s="187"/>
      <c r="AL35" s="187"/>
      <c r="AM35" s="188"/>
      <c r="AN35" s="44"/>
      <c r="AO35" s="24"/>
      <c r="AP35" s="19">
        <f t="shared" si="15"/>
        <v>1</v>
      </c>
      <c r="AQ35" s="19">
        <f t="shared" si="16"/>
        <v>2</v>
      </c>
      <c r="AR35" s="19">
        <f t="shared" si="17"/>
        <v>2</v>
      </c>
      <c r="AS35" s="19">
        <f t="shared" si="18"/>
        <v>0</v>
      </c>
      <c r="AT35" s="19">
        <f t="shared" si="28"/>
        <v>2</v>
      </c>
      <c r="AU35" s="19">
        <f t="shared" si="19"/>
        <v>0</v>
      </c>
      <c r="AV35" s="19">
        <f t="shared" si="20"/>
        <v>0</v>
      </c>
      <c r="AW35" s="19">
        <f t="shared" si="21"/>
        <v>0</v>
      </c>
      <c r="AX35" s="19">
        <f t="shared" si="22"/>
        <v>2</v>
      </c>
      <c r="AY35" s="19">
        <f t="shared" si="23"/>
        <v>0</v>
      </c>
      <c r="AZ35" s="19">
        <f t="shared" si="24"/>
        <v>0</v>
      </c>
      <c r="BA35" s="19">
        <f t="shared" si="25"/>
        <v>2</v>
      </c>
      <c r="BB35" s="19">
        <f t="shared" si="26"/>
        <v>1</v>
      </c>
      <c r="BC35" s="15">
        <f t="shared" si="27"/>
        <v>12</v>
      </c>
      <c r="BD35" s="12"/>
      <c r="BE35" s="12"/>
      <c r="BF35" s="12"/>
      <c r="BG35" s="12"/>
      <c r="BH35" s="12"/>
    </row>
    <row r="36" spans="1:60" ht="28.5" customHeight="1">
      <c r="A36" s="140">
        <v>10</v>
      </c>
      <c r="B36" s="20">
        <v>28</v>
      </c>
      <c r="C36" s="13" t="s">
        <v>68</v>
      </c>
      <c r="D36" s="56">
        <v>5</v>
      </c>
      <c r="E36" s="41" t="s">
        <v>26</v>
      </c>
      <c r="F36" s="16" t="s">
        <v>23</v>
      </c>
      <c r="G36" s="16" t="s">
        <v>17</v>
      </c>
      <c r="H36" s="16" t="s">
        <v>15</v>
      </c>
      <c r="I36" s="16" t="s">
        <v>16</v>
      </c>
      <c r="J36" s="17"/>
      <c r="K36" s="42"/>
      <c r="L36" s="41" t="s">
        <v>16</v>
      </c>
      <c r="M36" s="16" t="s">
        <v>17</v>
      </c>
      <c r="N36" s="76" t="s">
        <v>23</v>
      </c>
      <c r="O36" s="16" t="s">
        <v>27</v>
      </c>
      <c r="P36" s="16" t="s">
        <v>26</v>
      </c>
      <c r="Q36" s="16" t="s">
        <v>19</v>
      </c>
      <c r="R36" s="43" t="s">
        <v>19</v>
      </c>
      <c r="S36" s="78" t="s">
        <v>20</v>
      </c>
      <c r="T36" s="16" t="s">
        <v>15</v>
      </c>
      <c r="U36" s="16" t="s">
        <v>16</v>
      </c>
      <c r="V36" s="16" t="s">
        <v>18</v>
      </c>
      <c r="W36" s="16" t="s">
        <v>20</v>
      </c>
      <c r="X36" s="17"/>
      <c r="Y36" s="42"/>
      <c r="Z36" s="41" t="s">
        <v>23</v>
      </c>
      <c r="AA36" s="16" t="s">
        <v>24</v>
      </c>
      <c r="AB36" s="16" t="s">
        <v>15</v>
      </c>
      <c r="AC36" s="16" t="s">
        <v>20</v>
      </c>
      <c r="AD36" s="16" t="s">
        <v>27</v>
      </c>
      <c r="AE36" s="17"/>
      <c r="AF36" s="42"/>
      <c r="AG36" s="41" t="s">
        <v>23</v>
      </c>
      <c r="AH36" s="16" t="s">
        <v>22</v>
      </c>
      <c r="AI36" s="76" t="s">
        <v>22</v>
      </c>
      <c r="AJ36" s="16" t="s">
        <v>15</v>
      </c>
      <c r="AK36" s="16" t="s">
        <v>21</v>
      </c>
      <c r="AL36" s="16" t="s">
        <v>18</v>
      </c>
      <c r="AM36" s="43" t="s">
        <v>23</v>
      </c>
      <c r="AN36" s="45"/>
      <c r="AO36" s="24"/>
      <c r="AP36" s="19">
        <f t="shared" si="15"/>
        <v>4</v>
      </c>
      <c r="AQ36" s="19">
        <f t="shared" si="16"/>
        <v>3</v>
      </c>
      <c r="AR36" s="19">
        <f t="shared" si="17"/>
        <v>2</v>
      </c>
      <c r="AS36" s="19">
        <f t="shared" si="18"/>
        <v>2</v>
      </c>
      <c r="AT36" s="19">
        <f t="shared" si="28"/>
        <v>2</v>
      </c>
      <c r="AU36" s="19">
        <f t="shared" si="19"/>
        <v>3</v>
      </c>
      <c r="AV36" s="19">
        <f t="shared" si="20"/>
        <v>1</v>
      </c>
      <c r="AW36" s="19">
        <f t="shared" si="21"/>
        <v>2</v>
      </c>
      <c r="AX36" s="19">
        <f t="shared" si="22"/>
        <v>5</v>
      </c>
      <c r="AY36" s="19">
        <f t="shared" si="23"/>
        <v>1</v>
      </c>
      <c r="AZ36" s="19">
        <f t="shared" si="24"/>
        <v>0</v>
      </c>
      <c r="BA36" s="19">
        <f t="shared" si="25"/>
        <v>2</v>
      </c>
      <c r="BB36" s="19">
        <f t="shared" si="26"/>
        <v>2</v>
      </c>
      <c r="BC36" s="15">
        <f t="shared" si="27"/>
        <v>29</v>
      </c>
      <c r="BD36" s="12"/>
      <c r="BE36" s="12"/>
      <c r="BF36" s="12"/>
      <c r="BG36" s="12"/>
      <c r="BH36" s="12"/>
    </row>
    <row r="37" spans="1:60" ht="28.5" customHeight="1">
      <c r="A37" s="129"/>
      <c r="B37" s="20">
        <v>29</v>
      </c>
      <c r="C37" s="13" t="s">
        <v>69</v>
      </c>
      <c r="D37" s="56">
        <v>3</v>
      </c>
      <c r="E37" s="135" t="s">
        <v>30</v>
      </c>
      <c r="F37" s="187"/>
      <c r="G37" s="187"/>
      <c r="H37" s="187"/>
      <c r="I37" s="187"/>
      <c r="J37" s="187"/>
      <c r="K37" s="188"/>
      <c r="L37" s="41" t="s">
        <v>16</v>
      </c>
      <c r="M37" s="16" t="s">
        <v>17</v>
      </c>
      <c r="N37" s="16" t="s">
        <v>15</v>
      </c>
      <c r="O37" s="16" t="s">
        <v>27</v>
      </c>
      <c r="P37" s="16" t="s">
        <v>26</v>
      </c>
      <c r="Q37" s="16" t="s">
        <v>19</v>
      </c>
      <c r="R37" s="43" t="s">
        <v>19</v>
      </c>
      <c r="S37" s="78" t="s">
        <v>20</v>
      </c>
      <c r="T37" s="16" t="s">
        <v>15</v>
      </c>
      <c r="U37" s="16" t="s">
        <v>16</v>
      </c>
      <c r="V37" s="16" t="s">
        <v>18</v>
      </c>
      <c r="W37" s="16" t="s">
        <v>20</v>
      </c>
      <c r="X37" s="17"/>
      <c r="Y37" s="42"/>
      <c r="Z37" s="41" t="s">
        <v>23</v>
      </c>
      <c r="AA37" s="16" t="s">
        <v>24</v>
      </c>
      <c r="AB37" s="16" t="s">
        <v>15</v>
      </c>
      <c r="AC37" s="16" t="s">
        <v>20</v>
      </c>
      <c r="AD37" s="16" t="s">
        <v>27</v>
      </c>
      <c r="AE37" s="17"/>
      <c r="AF37" s="42"/>
      <c r="AG37" s="142" t="s">
        <v>70</v>
      </c>
      <c r="AH37" s="192"/>
      <c r="AI37" s="192"/>
      <c r="AJ37" s="192"/>
      <c r="AK37" s="192"/>
      <c r="AL37" s="192"/>
      <c r="AM37" s="193"/>
      <c r="AN37" s="45"/>
      <c r="AO37" s="24"/>
      <c r="AP37" s="19">
        <f t="shared" si="15"/>
        <v>3</v>
      </c>
      <c r="AQ37" s="19">
        <f t="shared" si="16"/>
        <v>2</v>
      </c>
      <c r="AR37" s="19">
        <f t="shared" si="17"/>
        <v>1</v>
      </c>
      <c r="AS37" s="19">
        <f t="shared" si="18"/>
        <v>1</v>
      </c>
      <c r="AT37" s="19">
        <f t="shared" si="28"/>
        <v>2</v>
      </c>
      <c r="AU37" s="19">
        <f t="shared" si="19"/>
        <v>3</v>
      </c>
      <c r="AV37" s="19">
        <f t="shared" si="20"/>
        <v>0</v>
      </c>
      <c r="AW37" s="19">
        <f t="shared" si="21"/>
        <v>0</v>
      </c>
      <c r="AX37" s="19">
        <f t="shared" si="22"/>
        <v>1</v>
      </c>
      <c r="AY37" s="19">
        <f t="shared" si="23"/>
        <v>1</v>
      </c>
      <c r="AZ37" s="19">
        <f t="shared" si="24"/>
        <v>0</v>
      </c>
      <c r="BA37" s="19">
        <f t="shared" si="25"/>
        <v>1</v>
      </c>
      <c r="BB37" s="19">
        <f t="shared" si="26"/>
        <v>2</v>
      </c>
      <c r="BC37" s="15">
        <f t="shared" si="27"/>
        <v>17</v>
      </c>
      <c r="BD37" s="12"/>
      <c r="BE37" s="12"/>
      <c r="BF37" s="12"/>
      <c r="BG37" s="12"/>
      <c r="BH37" s="12"/>
    </row>
    <row r="38" spans="1:60" ht="28.5" customHeight="1">
      <c r="A38" s="129"/>
      <c r="B38" s="20">
        <v>30</v>
      </c>
      <c r="C38" s="13" t="s">
        <v>71</v>
      </c>
      <c r="D38" s="56">
        <v>5</v>
      </c>
      <c r="E38" s="41" t="s">
        <v>26</v>
      </c>
      <c r="F38" s="16" t="s">
        <v>23</v>
      </c>
      <c r="G38" s="16" t="s">
        <v>17</v>
      </c>
      <c r="H38" s="16" t="s">
        <v>15</v>
      </c>
      <c r="I38" s="16" t="s">
        <v>16</v>
      </c>
      <c r="J38" s="17"/>
      <c r="K38" s="42"/>
      <c r="L38" s="41" t="s">
        <v>16</v>
      </c>
      <c r="M38" s="16" t="s">
        <v>17</v>
      </c>
      <c r="N38" s="16" t="s">
        <v>15</v>
      </c>
      <c r="O38" s="16" t="s">
        <v>27</v>
      </c>
      <c r="P38" s="16" t="s">
        <v>26</v>
      </c>
      <c r="Q38" s="16" t="s">
        <v>19</v>
      </c>
      <c r="R38" s="43" t="s">
        <v>19</v>
      </c>
      <c r="S38" s="41" t="s">
        <v>17</v>
      </c>
      <c r="T38" s="16" t="s">
        <v>15</v>
      </c>
      <c r="U38" s="16" t="s">
        <v>16</v>
      </c>
      <c r="V38" s="16" t="s">
        <v>18</v>
      </c>
      <c r="W38" s="16" t="s">
        <v>20</v>
      </c>
      <c r="X38" s="17"/>
      <c r="Y38" s="42"/>
      <c r="Z38" s="77" t="s">
        <v>25</v>
      </c>
      <c r="AA38" s="16" t="s">
        <v>24</v>
      </c>
      <c r="AB38" s="16" t="s">
        <v>15</v>
      </c>
      <c r="AC38" s="16" t="s">
        <v>20</v>
      </c>
      <c r="AD38" s="16" t="s">
        <v>27</v>
      </c>
      <c r="AE38" s="17"/>
      <c r="AF38" s="42"/>
      <c r="AG38" s="41" t="s">
        <v>23</v>
      </c>
      <c r="AH38" s="16" t="s">
        <v>22</v>
      </c>
      <c r="AI38" s="76" t="s">
        <v>22</v>
      </c>
      <c r="AJ38" s="16" t="s">
        <v>15</v>
      </c>
      <c r="AK38" s="16" t="s">
        <v>21</v>
      </c>
      <c r="AL38" s="16" t="s">
        <v>18</v>
      </c>
      <c r="AM38" s="43" t="s">
        <v>23</v>
      </c>
      <c r="AN38" s="45"/>
      <c r="AO38" s="24"/>
      <c r="AP38" s="19">
        <f t="shared" si="15"/>
        <v>5</v>
      </c>
      <c r="AQ38" s="19">
        <f t="shared" si="16"/>
        <v>3</v>
      </c>
      <c r="AR38" s="19">
        <f t="shared" si="17"/>
        <v>3</v>
      </c>
      <c r="AS38" s="19">
        <f t="shared" si="18"/>
        <v>2</v>
      </c>
      <c r="AT38" s="19">
        <f t="shared" si="28"/>
        <v>2</v>
      </c>
      <c r="AU38" s="19">
        <f t="shared" si="19"/>
        <v>2</v>
      </c>
      <c r="AV38" s="19">
        <f t="shared" si="20"/>
        <v>1</v>
      </c>
      <c r="AW38" s="19">
        <f t="shared" si="21"/>
        <v>2</v>
      </c>
      <c r="AX38" s="19">
        <f t="shared" si="22"/>
        <v>3</v>
      </c>
      <c r="AY38" s="19">
        <f t="shared" si="23"/>
        <v>1</v>
      </c>
      <c r="AZ38" s="19">
        <f t="shared" si="24"/>
        <v>1</v>
      </c>
      <c r="BA38" s="19">
        <f t="shared" si="25"/>
        <v>2</v>
      </c>
      <c r="BB38" s="19">
        <f t="shared" si="26"/>
        <v>2</v>
      </c>
      <c r="BC38" s="15">
        <f t="shared" si="27"/>
        <v>29</v>
      </c>
      <c r="BD38" s="12"/>
      <c r="BE38" s="12"/>
      <c r="BF38" s="12"/>
      <c r="BG38" s="12"/>
      <c r="BH38" s="12"/>
    </row>
    <row r="39" spans="1:60" ht="28.5" customHeight="1">
      <c r="A39" s="129"/>
      <c r="B39" s="20">
        <v>31</v>
      </c>
      <c r="C39" s="13" t="s">
        <v>72</v>
      </c>
      <c r="D39" s="56">
        <v>5</v>
      </c>
      <c r="E39" s="41" t="s">
        <v>26</v>
      </c>
      <c r="F39" s="16" t="s">
        <v>23</v>
      </c>
      <c r="G39" s="16" t="s">
        <v>17</v>
      </c>
      <c r="H39" s="16" t="s">
        <v>15</v>
      </c>
      <c r="I39" s="16" t="s">
        <v>16</v>
      </c>
      <c r="J39" s="17"/>
      <c r="K39" s="42"/>
      <c r="L39" s="41" t="s">
        <v>16</v>
      </c>
      <c r="M39" s="16" t="s">
        <v>17</v>
      </c>
      <c r="N39" s="16" t="s">
        <v>15</v>
      </c>
      <c r="O39" s="16" t="s">
        <v>27</v>
      </c>
      <c r="P39" s="16" t="s">
        <v>26</v>
      </c>
      <c r="Q39" s="16" t="s">
        <v>19</v>
      </c>
      <c r="R39" s="43" t="s">
        <v>19</v>
      </c>
      <c r="S39" s="41" t="s">
        <v>17</v>
      </c>
      <c r="T39" s="16" t="s">
        <v>15</v>
      </c>
      <c r="U39" s="16" t="s">
        <v>16</v>
      </c>
      <c r="V39" s="16" t="s">
        <v>18</v>
      </c>
      <c r="W39" s="16" t="s">
        <v>20</v>
      </c>
      <c r="X39" s="17"/>
      <c r="Y39" s="42"/>
      <c r="Z39" s="41" t="s">
        <v>23</v>
      </c>
      <c r="AA39" s="16" t="s">
        <v>24</v>
      </c>
      <c r="AB39" s="16" t="s">
        <v>15</v>
      </c>
      <c r="AC39" s="16" t="s">
        <v>20</v>
      </c>
      <c r="AD39" s="16" t="s">
        <v>27</v>
      </c>
      <c r="AE39" s="17"/>
      <c r="AF39" s="42"/>
      <c r="AG39" s="41" t="s">
        <v>23</v>
      </c>
      <c r="AH39" s="16" t="s">
        <v>22</v>
      </c>
      <c r="AI39" s="76" t="s">
        <v>22</v>
      </c>
      <c r="AJ39" s="16" t="s">
        <v>15</v>
      </c>
      <c r="AK39" s="16" t="s">
        <v>21</v>
      </c>
      <c r="AL39" s="16" t="s">
        <v>18</v>
      </c>
      <c r="AM39" s="43" t="s">
        <v>23</v>
      </c>
      <c r="AN39" s="44"/>
      <c r="AO39" s="24"/>
      <c r="AP39" s="19">
        <f t="shared" si="15"/>
        <v>5</v>
      </c>
      <c r="AQ39" s="19">
        <f t="shared" si="16"/>
        <v>3</v>
      </c>
      <c r="AR39" s="19">
        <f t="shared" si="17"/>
        <v>3</v>
      </c>
      <c r="AS39" s="19">
        <f t="shared" si="18"/>
        <v>2</v>
      </c>
      <c r="AT39" s="19">
        <f t="shared" si="28"/>
        <v>2</v>
      </c>
      <c r="AU39" s="19">
        <f t="shared" si="19"/>
        <v>2</v>
      </c>
      <c r="AV39" s="19">
        <f t="shared" si="20"/>
        <v>1</v>
      </c>
      <c r="AW39" s="19">
        <f t="shared" si="21"/>
        <v>2</v>
      </c>
      <c r="AX39" s="19">
        <f t="shared" si="22"/>
        <v>4</v>
      </c>
      <c r="AY39" s="19">
        <f t="shared" si="23"/>
        <v>1</v>
      </c>
      <c r="AZ39" s="19">
        <f t="shared" si="24"/>
        <v>0</v>
      </c>
      <c r="BA39" s="19">
        <f t="shared" si="25"/>
        <v>2</v>
      </c>
      <c r="BB39" s="19">
        <f t="shared" si="26"/>
        <v>2</v>
      </c>
      <c r="BC39" s="15">
        <f t="shared" si="27"/>
        <v>29</v>
      </c>
      <c r="BD39" s="12"/>
      <c r="BE39" s="12"/>
      <c r="BF39" s="12"/>
      <c r="BG39" s="12"/>
      <c r="BH39" s="12"/>
    </row>
    <row r="40" spans="1:60" ht="28.5" customHeight="1">
      <c r="A40" s="141"/>
      <c r="B40" s="20">
        <v>32</v>
      </c>
      <c r="C40" s="13" t="s">
        <v>73</v>
      </c>
      <c r="D40" s="56">
        <v>5</v>
      </c>
      <c r="E40" s="41" t="s">
        <v>26</v>
      </c>
      <c r="F40" s="16" t="s">
        <v>23</v>
      </c>
      <c r="G40" s="16" t="s">
        <v>17</v>
      </c>
      <c r="H40" s="16" t="s">
        <v>15</v>
      </c>
      <c r="I40" s="16" t="s">
        <v>16</v>
      </c>
      <c r="J40" s="17"/>
      <c r="K40" s="42"/>
      <c r="L40" s="41" t="s">
        <v>16</v>
      </c>
      <c r="M40" s="16" t="s">
        <v>17</v>
      </c>
      <c r="N40" s="16" t="s">
        <v>15</v>
      </c>
      <c r="O40" s="16" t="s">
        <v>27</v>
      </c>
      <c r="P40" s="16" t="s">
        <v>26</v>
      </c>
      <c r="Q40" s="16" t="s">
        <v>19</v>
      </c>
      <c r="R40" s="43" t="s">
        <v>19</v>
      </c>
      <c r="S40" s="41" t="s">
        <v>17</v>
      </c>
      <c r="T40" s="16" t="s">
        <v>15</v>
      </c>
      <c r="U40" s="16" t="s">
        <v>16</v>
      </c>
      <c r="V40" s="16" t="s">
        <v>18</v>
      </c>
      <c r="W40" s="16" t="s">
        <v>20</v>
      </c>
      <c r="X40" s="17"/>
      <c r="Y40" s="42"/>
      <c r="Z40" s="41" t="s">
        <v>23</v>
      </c>
      <c r="AA40" s="16" t="s">
        <v>24</v>
      </c>
      <c r="AB40" s="16" t="s">
        <v>15</v>
      </c>
      <c r="AC40" s="16" t="s">
        <v>20</v>
      </c>
      <c r="AD40" s="16" t="s">
        <v>27</v>
      </c>
      <c r="AE40" s="17"/>
      <c r="AF40" s="42"/>
      <c r="AG40" s="41" t="s">
        <v>23</v>
      </c>
      <c r="AH40" s="16" t="s">
        <v>22</v>
      </c>
      <c r="AI40" s="16" t="s">
        <v>21</v>
      </c>
      <c r="AJ40" s="16" t="s">
        <v>15</v>
      </c>
      <c r="AK40" s="16" t="s">
        <v>21</v>
      </c>
      <c r="AL40" s="16" t="s">
        <v>18</v>
      </c>
      <c r="AM40" s="43" t="s">
        <v>23</v>
      </c>
      <c r="AN40" s="44"/>
      <c r="AO40" s="24"/>
      <c r="AP40" s="19">
        <f t="shared" si="15"/>
        <v>5</v>
      </c>
      <c r="AQ40" s="19">
        <f t="shared" si="16"/>
        <v>3</v>
      </c>
      <c r="AR40" s="19">
        <f t="shared" si="17"/>
        <v>3</v>
      </c>
      <c r="AS40" s="19">
        <f t="shared" si="18"/>
        <v>2</v>
      </c>
      <c r="AT40" s="19">
        <f t="shared" si="28"/>
        <v>2</v>
      </c>
      <c r="AU40" s="19">
        <f t="shared" si="19"/>
        <v>2</v>
      </c>
      <c r="AV40" s="19">
        <f t="shared" si="20"/>
        <v>2</v>
      </c>
      <c r="AW40" s="19">
        <f t="shared" si="21"/>
        <v>1</v>
      </c>
      <c r="AX40" s="19">
        <f t="shared" si="22"/>
        <v>4</v>
      </c>
      <c r="AY40" s="19">
        <f t="shared" si="23"/>
        <v>1</v>
      </c>
      <c r="AZ40" s="19">
        <f t="shared" si="24"/>
        <v>0</v>
      </c>
      <c r="BA40" s="19">
        <f t="shared" si="25"/>
        <v>2</v>
      </c>
      <c r="BB40" s="19">
        <f t="shared" si="26"/>
        <v>2</v>
      </c>
      <c r="BC40" s="15">
        <f t="shared" si="27"/>
        <v>29</v>
      </c>
      <c r="BD40" s="12"/>
      <c r="BE40" s="12"/>
      <c r="BF40" s="12"/>
      <c r="BG40" s="12"/>
      <c r="BH40" s="12"/>
    </row>
    <row r="41" spans="1:60" ht="28.5" customHeight="1">
      <c r="A41" s="129">
        <v>11</v>
      </c>
      <c r="B41" s="20">
        <v>33</v>
      </c>
      <c r="C41" s="13" t="s">
        <v>74</v>
      </c>
      <c r="D41" s="56">
        <v>5</v>
      </c>
      <c r="E41" s="41" t="s">
        <v>26</v>
      </c>
      <c r="F41" s="16" t="s">
        <v>23</v>
      </c>
      <c r="G41" s="16" t="s">
        <v>17</v>
      </c>
      <c r="H41" s="16" t="s">
        <v>15</v>
      </c>
      <c r="I41" s="16" t="s">
        <v>16</v>
      </c>
      <c r="J41" s="17"/>
      <c r="K41" s="42"/>
      <c r="L41" s="41" t="s">
        <v>16</v>
      </c>
      <c r="M41" s="16" t="s">
        <v>17</v>
      </c>
      <c r="N41" s="16" t="s">
        <v>15</v>
      </c>
      <c r="O41" s="16" t="s">
        <v>27</v>
      </c>
      <c r="P41" s="16" t="s">
        <v>26</v>
      </c>
      <c r="Q41" s="16" t="s">
        <v>19</v>
      </c>
      <c r="R41" s="43" t="s">
        <v>19</v>
      </c>
      <c r="S41" s="41" t="s">
        <v>17</v>
      </c>
      <c r="T41" s="16" t="s">
        <v>15</v>
      </c>
      <c r="U41" s="16" t="s">
        <v>16</v>
      </c>
      <c r="V41" s="16" t="s">
        <v>18</v>
      </c>
      <c r="W41" s="16" t="s">
        <v>20</v>
      </c>
      <c r="X41" s="17"/>
      <c r="Y41" s="42"/>
      <c r="Z41" s="41" t="s">
        <v>23</v>
      </c>
      <c r="AA41" s="16" t="s">
        <v>24</v>
      </c>
      <c r="AB41" s="16" t="s">
        <v>15</v>
      </c>
      <c r="AC41" s="16" t="s">
        <v>20</v>
      </c>
      <c r="AD41" s="16" t="s">
        <v>27</v>
      </c>
      <c r="AE41" s="17"/>
      <c r="AF41" s="42"/>
      <c r="AG41" s="41" t="s">
        <v>23</v>
      </c>
      <c r="AH41" s="16" t="s">
        <v>22</v>
      </c>
      <c r="AI41" s="16" t="s">
        <v>21</v>
      </c>
      <c r="AJ41" s="16" t="s">
        <v>15</v>
      </c>
      <c r="AK41" s="16" t="s">
        <v>21</v>
      </c>
      <c r="AL41" s="16" t="s">
        <v>18</v>
      </c>
      <c r="AM41" s="43" t="s">
        <v>23</v>
      </c>
      <c r="AN41" s="44"/>
      <c r="AO41" s="24"/>
      <c r="AP41" s="19">
        <f t="shared" si="15"/>
        <v>5</v>
      </c>
      <c r="AQ41" s="19">
        <f t="shared" si="16"/>
        <v>3</v>
      </c>
      <c r="AR41" s="19">
        <f t="shared" si="17"/>
        <v>3</v>
      </c>
      <c r="AS41" s="19">
        <f t="shared" si="18"/>
        <v>2</v>
      </c>
      <c r="AT41" s="19">
        <f t="shared" si="28"/>
        <v>2</v>
      </c>
      <c r="AU41" s="19">
        <f t="shared" si="19"/>
        <v>2</v>
      </c>
      <c r="AV41" s="19">
        <f t="shared" si="20"/>
        <v>2</v>
      </c>
      <c r="AW41" s="19">
        <f t="shared" si="21"/>
        <v>1</v>
      </c>
      <c r="AX41" s="19">
        <f t="shared" si="22"/>
        <v>4</v>
      </c>
      <c r="AY41" s="19">
        <f t="shared" si="23"/>
        <v>1</v>
      </c>
      <c r="AZ41" s="19">
        <f t="shared" si="24"/>
        <v>0</v>
      </c>
      <c r="BA41" s="19">
        <f t="shared" si="25"/>
        <v>2</v>
      </c>
      <c r="BB41" s="19">
        <f t="shared" si="26"/>
        <v>2</v>
      </c>
      <c r="BC41" s="15">
        <f t="shared" si="27"/>
        <v>29</v>
      </c>
      <c r="BD41" s="12"/>
      <c r="BE41" s="12"/>
      <c r="BF41" s="12"/>
      <c r="BG41" s="12"/>
      <c r="BH41" s="12"/>
    </row>
    <row r="42" spans="1:60" ht="28.5" customHeight="1">
      <c r="A42" s="129"/>
      <c r="B42" s="20">
        <v>34</v>
      </c>
      <c r="C42" s="13" t="s">
        <v>75</v>
      </c>
      <c r="D42" s="56">
        <v>5</v>
      </c>
      <c r="E42" s="41" t="s">
        <v>26</v>
      </c>
      <c r="F42" s="16" t="s">
        <v>23</v>
      </c>
      <c r="G42" s="16" t="s">
        <v>17</v>
      </c>
      <c r="H42" s="16" t="s">
        <v>15</v>
      </c>
      <c r="I42" s="16" t="s">
        <v>16</v>
      </c>
      <c r="J42" s="17"/>
      <c r="K42" s="42"/>
      <c r="L42" s="41" t="s">
        <v>16</v>
      </c>
      <c r="M42" s="16" t="s">
        <v>17</v>
      </c>
      <c r="N42" s="16" t="s">
        <v>15</v>
      </c>
      <c r="O42" s="16" t="s">
        <v>27</v>
      </c>
      <c r="P42" s="16" t="s">
        <v>26</v>
      </c>
      <c r="Q42" s="16" t="s">
        <v>19</v>
      </c>
      <c r="R42" s="43" t="s">
        <v>19</v>
      </c>
      <c r="S42" s="41" t="s">
        <v>17</v>
      </c>
      <c r="T42" s="16" t="s">
        <v>15</v>
      </c>
      <c r="U42" s="16" t="s">
        <v>16</v>
      </c>
      <c r="V42" s="16" t="s">
        <v>18</v>
      </c>
      <c r="W42" s="16" t="s">
        <v>20</v>
      </c>
      <c r="X42" s="17"/>
      <c r="Y42" s="42"/>
      <c r="Z42" s="41" t="s">
        <v>23</v>
      </c>
      <c r="AA42" s="16" t="s">
        <v>24</v>
      </c>
      <c r="AB42" s="16" t="s">
        <v>15</v>
      </c>
      <c r="AC42" s="16" t="s">
        <v>20</v>
      </c>
      <c r="AD42" s="16" t="s">
        <v>27</v>
      </c>
      <c r="AE42" s="17"/>
      <c r="AF42" s="42"/>
      <c r="AG42" s="41" t="s">
        <v>23</v>
      </c>
      <c r="AH42" s="16" t="s">
        <v>22</v>
      </c>
      <c r="AI42" s="16" t="s">
        <v>21</v>
      </c>
      <c r="AJ42" s="16" t="s">
        <v>15</v>
      </c>
      <c r="AK42" s="16" t="s">
        <v>21</v>
      </c>
      <c r="AL42" s="16" t="s">
        <v>18</v>
      </c>
      <c r="AM42" s="43" t="s">
        <v>23</v>
      </c>
      <c r="AN42" s="44"/>
      <c r="AO42" s="24"/>
      <c r="AP42" s="19">
        <f t="shared" si="15"/>
        <v>5</v>
      </c>
      <c r="AQ42" s="19">
        <f t="shared" si="16"/>
        <v>3</v>
      </c>
      <c r="AR42" s="19">
        <f t="shared" si="17"/>
        <v>3</v>
      </c>
      <c r="AS42" s="19">
        <f t="shared" si="18"/>
        <v>2</v>
      </c>
      <c r="AT42" s="19">
        <f t="shared" si="28"/>
        <v>2</v>
      </c>
      <c r="AU42" s="19">
        <f t="shared" si="19"/>
        <v>2</v>
      </c>
      <c r="AV42" s="19">
        <f t="shared" si="20"/>
        <v>2</v>
      </c>
      <c r="AW42" s="19">
        <f t="shared" si="21"/>
        <v>1</v>
      </c>
      <c r="AX42" s="19">
        <f t="shared" si="22"/>
        <v>4</v>
      </c>
      <c r="AY42" s="19">
        <f t="shared" si="23"/>
        <v>1</v>
      </c>
      <c r="AZ42" s="19">
        <f t="shared" si="24"/>
        <v>0</v>
      </c>
      <c r="BA42" s="19">
        <f t="shared" si="25"/>
        <v>2</v>
      </c>
      <c r="BB42" s="19">
        <f t="shared" si="26"/>
        <v>2</v>
      </c>
      <c r="BC42" s="15">
        <f t="shared" si="27"/>
        <v>29</v>
      </c>
      <c r="BD42" s="12"/>
      <c r="BE42" s="12"/>
      <c r="BF42" s="12"/>
      <c r="BG42" s="12"/>
      <c r="BH42" s="12"/>
    </row>
    <row r="43" spans="1:60" ht="28.5" customHeight="1">
      <c r="A43" s="129"/>
      <c r="B43" s="20">
        <v>35</v>
      </c>
      <c r="C43" s="13" t="s">
        <v>76</v>
      </c>
      <c r="D43" s="56">
        <v>5</v>
      </c>
      <c r="E43" s="41" t="s">
        <v>26</v>
      </c>
      <c r="F43" s="16" t="s">
        <v>23</v>
      </c>
      <c r="G43" s="16" t="s">
        <v>17</v>
      </c>
      <c r="H43" s="16" t="s">
        <v>15</v>
      </c>
      <c r="I43" s="16" t="s">
        <v>16</v>
      </c>
      <c r="J43" s="17"/>
      <c r="K43" s="42"/>
      <c r="L43" s="41" t="s">
        <v>16</v>
      </c>
      <c r="M43" s="16" t="s">
        <v>17</v>
      </c>
      <c r="N43" s="16" t="s">
        <v>15</v>
      </c>
      <c r="O43" s="16" t="s">
        <v>27</v>
      </c>
      <c r="P43" s="16" t="s">
        <v>26</v>
      </c>
      <c r="Q43" s="16" t="s">
        <v>19</v>
      </c>
      <c r="R43" s="43" t="s">
        <v>19</v>
      </c>
      <c r="S43" s="41" t="s">
        <v>17</v>
      </c>
      <c r="T43" s="16" t="s">
        <v>15</v>
      </c>
      <c r="U43" s="16" t="s">
        <v>16</v>
      </c>
      <c r="V43" s="16" t="s">
        <v>18</v>
      </c>
      <c r="W43" s="16" t="s">
        <v>20</v>
      </c>
      <c r="X43" s="17"/>
      <c r="Y43" s="42"/>
      <c r="Z43" s="77" t="s">
        <v>25</v>
      </c>
      <c r="AA43" s="16" t="s">
        <v>24</v>
      </c>
      <c r="AB43" s="16" t="s">
        <v>15</v>
      </c>
      <c r="AC43" s="16" t="s">
        <v>20</v>
      </c>
      <c r="AD43" s="16" t="s">
        <v>27</v>
      </c>
      <c r="AE43" s="17"/>
      <c r="AF43" s="42"/>
      <c r="AG43" s="41" t="s">
        <v>23</v>
      </c>
      <c r="AH43" s="16" t="s">
        <v>22</v>
      </c>
      <c r="AI43" s="16" t="s">
        <v>21</v>
      </c>
      <c r="AJ43" s="16" t="s">
        <v>15</v>
      </c>
      <c r="AK43" s="16" t="s">
        <v>21</v>
      </c>
      <c r="AL43" s="16" t="s">
        <v>18</v>
      </c>
      <c r="AM43" s="43" t="s">
        <v>23</v>
      </c>
      <c r="AN43" s="44"/>
      <c r="AO43" s="24"/>
      <c r="AP43" s="19">
        <f t="shared" si="15"/>
        <v>5</v>
      </c>
      <c r="AQ43" s="19">
        <f t="shared" si="16"/>
        <v>3</v>
      </c>
      <c r="AR43" s="19">
        <f t="shared" si="17"/>
        <v>3</v>
      </c>
      <c r="AS43" s="19">
        <f t="shared" si="18"/>
        <v>2</v>
      </c>
      <c r="AT43" s="19">
        <f t="shared" si="28"/>
        <v>2</v>
      </c>
      <c r="AU43" s="19">
        <f t="shared" si="19"/>
        <v>2</v>
      </c>
      <c r="AV43" s="19">
        <f t="shared" si="20"/>
        <v>2</v>
      </c>
      <c r="AW43" s="19">
        <f t="shared" si="21"/>
        <v>1</v>
      </c>
      <c r="AX43" s="19">
        <f t="shared" si="22"/>
        <v>3</v>
      </c>
      <c r="AY43" s="19">
        <f t="shared" si="23"/>
        <v>1</v>
      </c>
      <c r="AZ43" s="19">
        <f t="shared" si="24"/>
        <v>1</v>
      </c>
      <c r="BA43" s="19">
        <f t="shared" si="25"/>
        <v>2</v>
      </c>
      <c r="BB43" s="19">
        <f t="shared" si="26"/>
        <v>2</v>
      </c>
      <c r="BC43" s="15">
        <f t="shared" si="27"/>
        <v>29</v>
      </c>
      <c r="BD43" s="12"/>
      <c r="BE43" s="12"/>
      <c r="BF43" s="12"/>
      <c r="BG43" s="12"/>
      <c r="BH43" s="12"/>
    </row>
    <row r="44" spans="1:60" ht="28.5" customHeight="1">
      <c r="A44" s="129"/>
      <c r="B44" s="20">
        <v>36</v>
      </c>
      <c r="C44" s="13" t="s">
        <v>77</v>
      </c>
      <c r="D44" s="56">
        <v>5</v>
      </c>
      <c r="E44" s="41" t="s">
        <v>26</v>
      </c>
      <c r="F44" s="16" t="s">
        <v>23</v>
      </c>
      <c r="G44" s="16" t="s">
        <v>17</v>
      </c>
      <c r="H44" s="16" t="s">
        <v>15</v>
      </c>
      <c r="I44" s="16" t="s">
        <v>16</v>
      </c>
      <c r="J44" s="17"/>
      <c r="K44" s="42"/>
      <c r="L44" s="41" t="s">
        <v>16</v>
      </c>
      <c r="M44" s="16" t="s">
        <v>17</v>
      </c>
      <c r="N44" s="16" t="s">
        <v>15</v>
      </c>
      <c r="O44" s="16" t="s">
        <v>27</v>
      </c>
      <c r="P44" s="16" t="s">
        <v>26</v>
      </c>
      <c r="Q44" s="16" t="s">
        <v>19</v>
      </c>
      <c r="R44" s="43" t="s">
        <v>19</v>
      </c>
      <c r="S44" s="41" t="s">
        <v>17</v>
      </c>
      <c r="T44" s="16" t="s">
        <v>15</v>
      </c>
      <c r="U44" s="16" t="s">
        <v>16</v>
      </c>
      <c r="V44" s="16" t="s">
        <v>18</v>
      </c>
      <c r="W44" s="16" t="s">
        <v>20</v>
      </c>
      <c r="X44" s="17"/>
      <c r="Y44" s="42"/>
      <c r="Z44" s="41" t="s">
        <v>23</v>
      </c>
      <c r="AA44" s="16" t="s">
        <v>24</v>
      </c>
      <c r="AB44" s="16" t="s">
        <v>15</v>
      </c>
      <c r="AC44" s="16" t="s">
        <v>20</v>
      </c>
      <c r="AD44" s="16" t="s">
        <v>27</v>
      </c>
      <c r="AE44" s="17"/>
      <c r="AF44" s="42"/>
      <c r="AG44" s="41" t="s">
        <v>23</v>
      </c>
      <c r="AH44" s="16" t="s">
        <v>22</v>
      </c>
      <c r="AI44" s="16" t="s">
        <v>21</v>
      </c>
      <c r="AJ44" s="16" t="s">
        <v>15</v>
      </c>
      <c r="AK44" s="16" t="s">
        <v>21</v>
      </c>
      <c r="AL44" s="16" t="s">
        <v>18</v>
      </c>
      <c r="AM44" s="43" t="s">
        <v>23</v>
      </c>
      <c r="AN44" s="44"/>
      <c r="AO44" s="24"/>
      <c r="AP44" s="19">
        <f t="shared" si="15"/>
        <v>5</v>
      </c>
      <c r="AQ44" s="19">
        <f t="shared" si="16"/>
        <v>3</v>
      </c>
      <c r="AR44" s="19">
        <f t="shared" si="17"/>
        <v>3</v>
      </c>
      <c r="AS44" s="19">
        <f t="shared" si="18"/>
        <v>2</v>
      </c>
      <c r="AT44" s="19">
        <f t="shared" si="28"/>
        <v>2</v>
      </c>
      <c r="AU44" s="19">
        <f t="shared" si="19"/>
        <v>2</v>
      </c>
      <c r="AV44" s="19">
        <f t="shared" si="20"/>
        <v>2</v>
      </c>
      <c r="AW44" s="19">
        <f t="shared" si="21"/>
        <v>1</v>
      </c>
      <c r="AX44" s="19">
        <f t="shared" si="22"/>
        <v>4</v>
      </c>
      <c r="AY44" s="19">
        <f t="shared" si="23"/>
        <v>1</v>
      </c>
      <c r="AZ44" s="19">
        <f t="shared" si="24"/>
        <v>0</v>
      </c>
      <c r="BA44" s="19">
        <f t="shared" si="25"/>
        <v>2</v>
      </c>
      <c r="BB44" s="19">
        <f t="shared" si="26"/>
        <v>2</v>
      </c>
      <c r="BC44" s="15">
        <f t="shared" si="27"/>
        <v>29</v>
      </c>
      <c r="BD44" s="12"/>
      <c r="BE44" s="12"/>
      <c r="BF44" s="12"/>
      <c r="BG44" s="12"/>
      <c r="BH44" s="12"/>
    </row>
    <row r="45" spans="1:60" ht="28.5" customHeight="1">
      <c r="A45" s="140">
        <v>12</v>
      </c>
      <c r="B45" s="20">
        <v>37</v>
      </c>
      <c r="C45" s="13" t="s">
        <v>78</v>
      </c>
      <c r="D45" s="56">
        <v>5</v>
      </c>
      <c r="E45" s="41" t="s">
        <v>26</v>
      </c>
      <c r="F45" s="16" t="s">
        <v>23</v>
      </c>
      <c r="G45" s="16" t="s">
        <v>17</v>
      </c>
      <c r="H45" s="16" t="s">
        <v>15</v>
      </c>
      <c r="I45" s="16" t="s">
        <v>16</v>
      </c>
      <c r="J45" s="17"/>
      <c r="K45" s="42"/>
      <c r="L45" s="41" t="s">
        <v>16</v>
      </c>
      <c r="M45" s="16" t="s">
        <v>17</v>
      </c>
      <c r="N45" s="16" t="s">
        <v>15</v>
      </c>
      <c r="O45" s="16" t="s">
        <v>27</v>
      </c>
      <c r="P45" s="16" t="s">
        <v>26</v>
      </c>
      <c r="Q45" s="16" t="s">
        <v>19</v>
      </c>
      <c r="R45" s="43" t="s">
        <v>19</v>
      </c>
      <c r="S45" s="41" t="s">
        <v>17</v>
      </c>
      <c r="T45" s="16" t="s">
        <v>15</v>
      </c>
      <c r="U45" s="16" t="s">
        <v>16</v>
      </c>
      <c r="V45" s="16" t="s">
        <v>18</v>
      </c>
      <c r="W45" s="16" t="s">
        <v>20</v>
      </c>
      <c r="X45" s="17"/>
      <c r="Y45" s="42"/>
      <c r="Z45" s="41" t="s">
        <v>23</v>
      </c>
      <c r="AA45" s="16" t="s">
        <v>24</v>
      </c>
      <c r="AB45" s="16" t="s">
        <v>15</v>
      </c>
      <c r="AC45" s="16" t="s">
        <v>20</v>
      </c>
      <c r="AD45" s="16" t="s">
        <v>27</v>
      </c>
      <c r="AE45" s="17"/>
      <c r="AF45" s="42"/>
      <c r="AG45" s="41" t="s">
        <v>23</v>
      </c>
      <c r="AH45" s="16" t="s">
        <v>22</v>
      </c>
      <c r="AI45" s="16" t="s">
        <v>21</v>
      </c>
      <c r="AJ45" s="16" t="s">
        <v>15</v>
      </c>
      <c r="AK45" s="16" t="s">
        <v>21</v>
      </c>
      <c r="AL45" s="16" t="s">
        <v>18</v>
      </c>
      <c r="AM45" s="43" t="s">
        <v>23</v>
      </c>
      <c r="AN45" s="44"/>
      <c r="AO45" s="24"/>
      <c r="AP45" s="19">
        <f t="shared" si="15"/>
        <v>5</v>
      </c>
      <c r="AQ45" s="19">
        <f t="shared" si="16"/>
        <v>3</v>
      </c>
      <c r="AR45" s="19">
        <f t="shared" si="17"/>
        <v>3</v>
      </c>
      <c r="AS45" s="19">
        <f t="shared" si="18"/>
        <v>2</v>
      </c>
      <c r="AT45" s="19">
        <f t="shared" si="28"/>
        <v>2</v>
      </c>
      <c r="AU45" s="19">
        <f t="shared" si="19"/>
        <v>2</v>
      </c>
      <c r="AV45" s="19">
        <f t="shared" si="20"/>
        <v>2</v>
      </c>
      <c r="AW45" s="19">
        <f t="shared" si="21"/>
        <v>1</v>
      </c>
      <c r="AX45" s="19">
        <f t="shared" si="22"/>
        <v>4</v>
      </c>
      <c r="AY45" s="19">
        <f t="shared" si="23"/>
        <v>1</v>
      </c>
      <c r="AZ45" s="19">
        <f t="shared" si="24"/>
        <v>0</v>
      </c>
      <c r="BA45" s="19">
        <f t="shared" si="25"/>
        <v>2</v>
      </c>
      <c r="BB45" s="19">
        <f t="shared" si="26"/>
        <v>2</v>
      </c>
      <c r="BC45" s="15">
        <f t="shared" si="27"/>
        <v>29</v>
      </c>
      <c r="BD45" s="12"/>
      <c r="BE45" s="12"/>
      <c r="BF45" s="12"/>
      <c r="BG45" s="12"/>
      <c r="BH45" s="12"/>
    </row>
    <row r="46" spans="1:60" ht="28.5" customHeight="1">
      <c r="A46" s="129"/>
      <c r="B46" s="20">
        <v>38</v>
      </c>
      <c r="C46" s="13" t="s">
        <v>79</v>
      </c>
      <c r="D46" s="56">
        <v>5</v>
      </c>
      <c r="E46" s="41" t="s">
        <v>26</v>
      </c>
      <c r="F46" s="16" t="s">
        <v>23</v>
      </c>
      <c r="G46" s="16" t="s">
        <v>17</v>
      </c>
      <c r="H46" s="16" t="s">
        <v>15</v>
      </c>
      <c r="I46" s="16" t="s">
        <v>16</v>
      </c>
      <c r="J46" s="17"/>
      <c r="K46" s="42"/>
      <c r="L46" s="41" t="s">
        <v>16</v>
      </c>
      <c r="M46" s="16" t="s">
        <v>17</v>
      </c>
      <c r="N46" s="16" t="s">
        <v>15</v>
      </c>
      <c r="O46" s="16" t="s">
        <v>27</v>
      </c>
      <c r="P46" s="16" t="s">
        <v>26</v>
      </c>
      <c r="Q46" s="16" t="s">
        <v>19</v>
      </c>
      <c r="R46" s="43" t="s">
        <v>19</v>
      </c>
      <c r="S46" s="41" t="s">
        <v>17</v>
      </c>
      <c r="T46" s="16" t="s">
        <v>15</v>
      </c>
      <c r="U46" s="16" t="s">
        <v>16</v>
      </c>
      <c r="V46" s="16" t="s">
        <v>18</v>
      </c>
      <c r="W46" s="16" t="s">
        <v>20</v>
      </c>
      <c r="X46" s="17"/>
      <c r="Y46" s="42"/>
      <c r="Z46" s="41" t="s">
        <v>23</v>
      </c>
      <c r="AA46" s="16" t="s">
        <v>24</v>
      </c>
      <c r="AB46" s="16" t="s">
        <v>15</v>
      </c>
      <c r="AC46" s="16" t="s">
        <v>20</v>
      </c>
      <c r="AD46" s="16" t="s">
        <v>27</v>
      </c>
      <c r="AE46" s="17"/>
      <c r="AF46" s="42"/>
      <c r="AG46" s="41" t="s">
        <v>23</v>
      </c>
      <c r="AH46" s="16" t="s">
        <v>22</v>
      </c>
      <c r="AI46" s="16" t="s">
        <v>21</v>
      </c>
      <c r="AJ46" s="16" t="s">
        <v>15</v>
      </c>
      <c r="AK46" s="16" t="s">
        <v>21</v>
      </c>
      <c r="AL46" s="16" t="s">
        <v>18</v>
      </c>
      <c r="AM46" s="43" t="s">
        <v>23</v>
      </c>
      <c r="AN46" s="44"/>
      <c r="AO46" s="24"/>
      <c r="AP46" s="19">
        <f t="shared" si="15"/>
        <v>5</v>
      </c>
      <c r="AQ46" s="19">
        <f t="shared" si="16"/>
        <v>3</v>
      </c>
      <c r="AR46" s="19">
        <f t="shared" si="17"/>
        <v>3</v>
      </c>
      <c r="AS46" s="19">
        <f t="shared" si="18"/>
        <v>2</v>
      </c>
      <c r="AT46" s="19">
        <f t="shared" si="28"/>
        <v>2</v>
      </c>
      <c r="AU46" s="19">
        <f t="shared" si="19"/>
        <v>2</v>
      </c>
      <c r="AV46" s="19">
        <f t="shared" si="20"/>
        <v>2</v>
      </c>
      <c r="AW46" s="19">
        <f t="shared" si="21"/>
        <v>1</v>
      </c>
      <c r="AX46" s="19">
        <f t="shared" si="22"/>
        <v>4</v>
      </c>
      <c r="AY46" s="19">
        <f t="shared" si="23"/>
        <v>1</v>
      </c>
      <c r="AZ46" s="19">
        <f t="shared" si="24"/>
        <v>0</v>
      </c>
      <c r="BA46" s="19">
        <f t="shared" si="25"/>
        <v>2</v>
      </c>
      <c r="BB46" s="19">
        <f t="shared" si="26"/>
        <v>2</v>
      </c>
      <c r="BC46" s="15">
        <f t="shared" si="27"/>
        <v>29</v>
      </c>
      <c r="BD46" s="12"/>
      <c r="BE46" s="12"/>
      <c r="BF46" s="12"/>
      <c r="BG46" s="12"/>
      <c r="BH46" s="12"/>
    </row>
    <row r="47" spans="1:60" ht="28.5" customHeight="1">
      <c r="A47" s="129"/>
      <c r="B47" s="20">
        <v>39</v>
      </c>
      <c r="C47" s="13" t="s">
        <v>80</v>
      </c>
      <c r="D47" s="56">
        <v>5</v>
      </c>
      <c r="E47" s="41" t="s">
        <v>26</v>
      </c>
      <c r="F47" s="16" t="s">
        <v>23</v>
      </c>
      <c r="G47" s="16" t="s">
        <v>17</v>
      </c>
      <c r="H47" s="16" t="s">
        <v>15</v>
      </c>
      <c r="I47" s="16" t="s">
        <v>16</v>
      </c>
      <c r="J47" s="17"/>
      <c r="K47" s="42"/>
      <c r="L47" s="41" t="s">
        <v>16</v>
      </c>
      <c r="M47" s="76" t="s">
        <v>22</v>
      </c>
      <c r="N47" s="16" t="s">
        <v>15</v>
      </c>
      <c r="O47" s="16" t="s">
        <v>27</v>
      </c>
      <c r="P47" s="16" t="s">
        <v>26</v>
      </c>
      <c r="Q47" s="16" t="s">
        <v>19</v>
      </c>
      <c r="R47" s="43" t="s">
        <v>19</v>
      </c>
      <c r="S47" s="41" t="s">
        <v>17</v>
      </c>
      <c r="T47" s="16" t="s">
        <v>15</v>
      </c>
      <c r="U47" s="16" t="s">
        <v>16</v>
      </c>
      <c r="V47" s="16" t="s">
        <v>18</v>
      </c>
      <c r="W47" s="16" t="s">
        <v>20</v>
      </c>
      <c r="X47" s="17"/>
      <c r="Y47" s="42"/>
      <c r="Z47" s="77" t="s">
        <v>25</v>
      </c>
      <c r="AA47" s="16" t="s">
        <v>24</v>
      </c>
      <c r="AB47" s="16" t="s">
        <v>15</v>
      </c>
      <c r="AC47" s="16" t="s">
        <v>20</v>
      </c>
      <c r="AD47" s="16" t="s">
        <v>27</v>
      </c>
      <c r="AE47" s="17"/>
      <c r="AF47" s="42"/>
      <c r="AG47" s="41" t="s">
        <v>23</v>
      </c>
      <c r="AH47" s="16" t="s">
        <v>22</v>
      </c>
      <c r="AI47" s="16" t="s">
        <v>21</v>
      </c>
      <c r="AJ47" s="16" t="s">
        <v>15</v>
      </c>
      <c r="AK47" s="16" t="s">
        <v>21</v>
      </c>
      <c r="AL47" s="16" t="s">
        <v>18</v>
      </c>
      <c r="AM47" s="43" t="s">
        <v>23</v>
      </c>
      <c r="AN47" s="44"/>
      <c r="AO47" s="24"/>
      <c r="AP47" s="19">
        <f t="shared" si="15"/>
        <v>5</v>
      </c>
      <c r="AQ47" s="19">
        <f t="shared" si="16"/>
        <v>3</v>
      </c>
      <c r="AR47" s="19">
        <f t="shared" si="17"/>
        <v>2</v>
      </c>
      <c r="AS47" s="19">
        <f t="shared" si="18"/>
        <v>2</v>
      </c>
      <c r="AT47" s="19">
        <f t="shared" si="28"/>
        <v>2</v>
      </c>
      <c r="AU47" s="19">
        <f t="shared" si="19"/>
        <v>2</v>
      </c>
      <c r="AV47" s="19">
        <f t="shared" si="20"/>
        <v>2</v>
      </c>
      <c r="AW47" s="19">
        <f t="shared" si="21"/>
        <v>2</v>
      </c>
      <c r="AX47" s="19">
        <f t="shared" si="22"/>
        <v>3</v>
      </c>
      <c r="AY47" s="19">
        <f t="shared" si="23"/>
        <v>1</v>
      </c>
      <c r="AZ47" s="19">
        <f t="shared" si="24"/>
        <v>1</v>
      </c>
      <c r="BA47" s="19">
        <f t="shared" si="25"/>
        <v>2</v>
      </c>
      <c r="BB47" s="19">
        <f t="shared" si="26"/>
        <v>2</v>
      </c>
      <c r="BC47" s="15">
        <f t="shared" si="27"/>
        <v>29</v>
      </c>
      <c r="BD47" s="12"/>
      <c r="BE47" s="12"/>
      <c r="BF47" s="12"/>
      <c r="BG47" s="12"/>
      <c r="BH47" s="12"/>
    </row>
    <row r="48" spans="1:60" ht="28.5" customHeight="1">
      <c r="A48" s="129"/>
      <c r="B48" s="20">
        <v>40</v>
      </c>
      <c r="C48" s="13" t="s">
        <v>81</v>
      </c>
      <c r="D48" s="56">
        <v>4</v>
      </c>
      <c r="E48" s="41" t="s">
        <v>26</v>
      </c>
      <c r="F48" s="16" t="s">
        <v>23</v>
      </c>
      <c r="G48" s="16" t="s">
        <v>17</v>
      </c>
      <c r="H48" s="16" t="s">
        <v>15</v>
      </c>
      <c r="I48" s="16" t="s">
        <v>16</v>
      </c>
      <c r="J48" s="17"/>
      <c r="K48" s="42"/>
      <c r="L48" s="41" t="s">
        <v>16</v>
      </c>
      <c r="M48" s="76" t="s">
        <v>22</v>
      </c>
      <c r="N48" s="16" t="s">
        <v>15</v>
      </c>
      <c r="O48" s="16" t="s">
        <v>27</v>
      </c>
      <c r="P48" s="16" t="s">
        <v>26</v>
      </c>
      <c r="Q48" s="76" t="s">
        <v>23</v>
      </c>
      <c r="R48" s="79" t="s">
        <v>23</v>
      </c>
      <c r="S48" s="41" t="s">
        <v>17</v>
      </c>
      <c r="T48" s="16" t="s">
        <v>15</v>
      </c>
      <c r="U48" s="16" t="s">
        <v>16</v>
      </c>
      <c r="V48" s="76" t="s">
        <v>27</v>
      </c>
      <c r="W48" s="16" t="s">
        <v>20</v>
      </c>
      <c r="X48" s="17"/>
      <c r="Y48" s="42"/>
      <c r="Z48" s="41" t="s">
        <v>23</v>
      </c>
      <c r="AA48" s="16" t="s">
        <v>24</v>
      </c>
      <c r="AB48" s="16" t="s">
        <v>15</v>
      </c>
      <c r="AC48" s="16" t="s">
        <v>20</v>
      </c>
      <c r="AD48" s="16" t="s">
        <v>27</v>
      </c>
      <c r="AE48" s="17"/>
      <c r="AF48" s="42"/>
      <c r="AG48" s="142" t="s">
        <v>82</v>
      </c>
      <c r="AH48" s="192"/>
      <c r="AI48" s="192"/>
      <c r="AJ48" s="192"/>
      <c r="AK48" s="192"/>
      <c r="AL48" s="192"/>
      <c r="AM48" s="193"/>
      <c r="AN48" s="44"/>
      <c r="AO48" s="24"/>
      <c r="AP48" s="19">
        <f t="shared" si="15"/>
        <v>4</v>
      </c>
      <c r="AQ48" s="19">
        <f t="shared" si="16"/>
        <v>3</v>
      </c>
      <c r="AR48" s="19">
        <f t="shared" si="17"/>
        <v>2</v>
      </c>
      <c r="AS48" s="19">
        <f t="shared" si="18"/>
        <v>0</v>
      </c>
      <c r="AT48" s="19">
        <f t="shared" si="28"/>
        <v>0</v>
      </c>
      <c r="AU48" s="19">
        <f t="shared" si="19"/>
        <v>2</v>
      </c>
      <c r="AV48" s="19">
        <f t="shared" si="20"/>
        <v>0</v>
      </c>
      <c r="AW48" s="19">
        <f t="shared" si="21"/>
        <v>1</v>
      </c>
      <c r="AX48" s="19">
        <f t="shared" si="22"/>
        <v>4</v>
      </c>
      <c r="AY48" s="19">
        <f t="shared" si="23"/>
        <v>1</v>
      </c>
      <c r="AZ48" s="19">
        <f t="shared" si="24"/>
        <v>0</v>
      </c>
      <c r="BA48" s="19">
        <f t="shared" si="25"/>
        <v>2</v>
      </c>
      <c r="BB48" s="19">
        <f t="shared" si="26"/>
        <v>3</v>
      </c>
      <c r="BC48" s="15">
        <f t="shared" si="27"/>
        <v>22</v>
      </c>
      <c r="BD48" s="12"/>
      <c r="BE48" s="12"/>
      <c r="BF48" s="12"/>
      <c r="BG48" s="12"/>
      <c r="BH48" s="12"/>
    </row>
    <row r="49" spans="1:68" ht="28.5" customHeight="1">
      <c r="A49" s="143"/>
      <c r="B49" s="55">
        <v>41</v>
      </c>
      <c r="C49" s="30" t="s">
        <v>83</v>
      </c>
      <c r="D49" s="59">
        <v>4</v>
      </c>
      <c r="E49" s="41" t="s">
        <v>26</v>
      </c>
      <c r="F49" s="16" t="s">
        <v>23</v>
      </c>
      <c r="G49" s="16" t="s">
        <v>17</v>
      </c>
      <c r="H49" s="16" t="s">
        <v>15</v>
      </c>
      <c r="I49" s="16" t="s">
        <v>16</v>
      </c>
      <c r="J49" s="17"/>
      <c r="K49" s="42"/>
      <c r="L49" s="41" t="s">
        <v>16</v>
      </c>
      <c r="M49" s="76" t="s">
        <v>22</v>
      </c>
      <c r="N49" s="16" t="s">
        <v>15</v>
      </c>
      <c r="O49" s="16" t="s">
        <v>27</v>
      </c>
      <c r="P49" s="16" t="s">
        <v>26</v>
      </c>
      <c r="Q49" s="76" t="s">
        <v>23</v>
      </c>
      <c r="R49" s="79" t="s">
        <v>23</v>
      </c>
      <c r="S49" s="41" t="s">
        <v>17</v>
      </c>
      <c r="T49" s="16" t="s">
        <v>15</v>
      </c>
      <c r="U49" s="16" t="s">
        <v>16</v>
      </c>
      <c r="V49" s="76" t="s">
        <v>27</v>
      </c>
      <c r="W49" s="16" t="s">
        <v>20</v>
      </c>
      <c r="X49" s="17"/>
      <c r="Y49" s="42"/>
      <c r="Z49" s="41" t="s">
        <v>23</v>
      </c>
      <c r="AA49" s="16" t="s">
        <v>24</v>
      </c>
      <c r="AB49" s="16" t="s">
        <v>15</v>
      </c>
      <c r="AC49" s="16" t="s">
        <v>20</v>
      </c>
      <c r="AD49" s="61" t="s">
        <v>84</v>
      </c>
      <c r="AE49" s="62"/>
      <c r="AF49" s="63"/>
      <c r="AG49" s="64"/>
      <c r="AH49" s="65"/>
      <c r="AI49" s="65"/>
      <c r="AJ49" s="65"/>
      <c r="AK49" s="62"/>
      <c r="AL49" s="62"/>
      <c r="AM49" s="63"/>
      <c r="AN49" s="66"/>
      <c r="AO49" s="24"/>
      <c r="AP49" s="19">
        <f t="shared" si="15"/>
        <v>4</v>
      </c>
      <c r="AQ49" s="19">
        <f t="shared" si="16"/>
        <v>3</v>
      </c>
      <c r="AR49" s="19">
        <f t="shared" si="17"/>
        <v>2</v>
      </c>
      <c r="AS49" s="19">
        <f t="shared" si="18"/>
        <v>0</v>
      </c>
      <c r="AT49" s="19">
        <f t="shared" si="28"/>
        <v>0</v>
      </c>
      <c r="AU49" s="19">
        <f t="shared" si="19"/>
        <v>2</v>
      </c>
      <c r="AV49" s="19">
        <f t="shared" si="20"/>
        <v>0</v>
      </c>
      <c r="AW49" s="19">
        <f t="shared" si="21"/>
        <v>1</v>
      </c>
      <c r="AX49" s="19">
        <f t="shared" si="22"/>
        <v>4</v>
      </c>
      <c r="AY49" s="19">
        <f t="shared" si="23"/>
        <v>1</v>
      </c>
      <c r="AZ49" s="19">
        <f t="shared" si="24"/>
        <v>0</v>
      </c>
      <c r="BA49" s="19">
        <f t="shared" si="25"/>
        <v>2</v>
      </c>
      <c r="BB49" s="19">
        <f t="shared" si="26"/>
        <v>2</v>
      </c>
      <c r="BC49" s="15">
        <f t="shared" si="27"/>
        <v>21</v>
      </c>
      <c r="BD49" s="12"/>
      <c r="BE49" s="12"/>
      <c r="BF49" s="12"/>
      <c r="BG49" s="12"/>
      <c r="BH49" s="12"/>
    </row>
    <row r="50" spans="1:68" ht="28.5" customHeight="1">
      <c r="A50" s="144" t="s">
        <v>85</v>
      </c>
      <c r="B50" s="176"/>
      <c r="C50" s="194"/>
      <c r="D50" s="67">
        <f>SUM(D30:D49)</f>
        <v>92</v>
      </c>
      <c r="E50" s="145">
        <v>18</v>
      </c>
      <c r="F50" s="176"/>
      <c r="G50" s="176"/>
      <c r="H50" s="176"/>
      <c r="I50" s="176"/>
      <c r="J50" s="176"/>
      <c r="K50" s="177"/>
      <c r="L50" s="145">
        <v>20</v>
      </c>
      <c r="M50" s="176"/>
      <c r="N50" s="176"/>
      <c r="O50" s="176"/>
      <c r="P50" s="176"/>
      <c r="Q50" s="176"/>
      <c r="R50" s="177"/>
      <c r="S50" s="145">
        <v>19</v>
      </c>
      <c r="T50" s="176"/>
      <c r="U50" s="176"/>
      <c r="V50" s="176"/>
      <c r="W50" s="176"/>
      <c r="X50" s="176"/>
      <c r="Y50" s="177"/>
      <c r="Z50" s="145">
        <v>19</v>
      </c>
      <c r="AA50" s="176"/>
      <c r="AB50" s="176"/>
      <c r="AC50" s="176"/>
      <c r="AD50" s="176"/>
      <c r="AE50" s="176"/>
      <c r="AF50" s="177"/>
      <c r="AG50" s="145">
        <v>16</v>
      </c>
      <c r="AH50" s="176"/>
      <c r="AI50" s="176"/>
      <c r="AJ50" s="176"/>
      <c r="AK50" s="176"/>
      <c r="AL50" s="176"/>
      <c r="AM50" s="177"/>
      <c r="AN50" s="68">
        <f t="shared" ref="AN50:AN52" si="29">SUM(E50:AM50)</f>
        <v>92</v>
      </c>
      <c r="AO50" s="21"/>
      <c r="AP50" s="19">
        <f t="shared" si="15"/>
        <v>0</v>
      </c>
      <c r="AQ50" s="19">
        <f t="shared" si="16"/>
        <v>0</v>
      </c>
      <c r="AR50" s="19">
        <f t="shared" si="17"/>
        <v>0</v>
      </c>
      <c r="AS50" s="19">
        <f t="shared" si="18"/>
        <v>0</v>
      </c>
      <c r="AT50" s="19">
        <f t="shared" si="28"/>
        <v>0</v>
      </c>
      <c r="AU50" s="19">
        <f t="shared" si="19"/>
        <v>0</v>
      </c>
      <c r="AV50" s="19">
        <f t="shared" si="20"/>
        <v>0</v>
      </c>
      <c r="AW50" s="19">
        <f t="shared" si="21"/>
        <v>0</v>
      </c>
      <c r="AX50" s="19">
        <f t="shared" si="22"/>
        <v>0</v>
      </c>
      <c r="AY50" s="19">
        <f t="shared" si="23"/>
        <v>0</v>
      </c>
      <c r="AZ50" s="19">
        <f t="shared" si="24"/>
        <v>0</v>
      </c>
      <c r="BA50" s="19">
        <f t="shared" si="25"/>
        <v>0</v>
      </c>
      <c r="BB50" s="19">
        <f t="shared" si="26"/>
        <v>0</v>
      </c>
      <c r="BC50" s="15">
        <f t="shared" si="27"/>
        <v>0</v>
      </c>
      <c r="BD50" s="12"/>
      <c r="BE50" s="12"/>
      <c r="BF50" s="12"/>
      <c r="BG50" s="12"/>
      <c r="BH50" s="12"/>
    </row>
    <row r="51" spans="1:68" ht="28.5" customHeight="1">
      <c r="A51" s="146" t="s">
        <v>86</v>
      </c>
      <c r="B51" s="192"/>
      <c r="C51" s="195"/>
      <c r="D51" s="147">
        <f t="shared" ref="D51:E51" si="30">D26+D50</f>
        <v>190</v>
      </c>
      <c r="E51" s="148">
        <f t="shared" si="30"/>
        <v>36</v>
      </c>
      <c r="F51" s="187"/>
      <c r="G51" s="187"/>
      <c r="H51" s="187"/>
      <c r="I51" s="187"/>
      <c r="J51" s="187"/>
      <c r="K51" s="188"/>
      <c r="L51" s="144">
        <f>L26+L50</f>
        <v>40</v>
      </c>
      <c r="M51" s="183"/>
      <c r="N51" s="183"/>
      <c r="O51" s="183"/>
      <c r="P51" s="183"/>
      <c r="Q51" s="183"/>
      <c r="R51" s="184"/>
      <c r="S51" s="148">
        <f>S26+S50</f>
        <v>39</v>
      </c>
      <c r="T51" s="187"/>
      <c r="U51" s="187"/>
      <c r="V51" s="187"/>
      <c r="W51" s="187"/>
      <c r="X51" s="187"/>
      <c r="Y51" s="188"/>
      <c r="Z51" s="148">
        <f>Z26+Z50</f>
        <v>40</v>
      </c>
      <c r="AA51" s="187"/>
      <c r="AB51" s="187"/>
      <c r="AC51" s="187"/>
      <c r="AD51" s="187"/>
      <c r="AE51" s="187"/>
      <c r="AF51" s="188"/>
      <c r="AG51" s="148">
        <f>AG26+AG50</f>
        <v>35</v>
      </c>
      <c r="AH51" s="187"/>
      <c r="AI51" s="187"/>
      <c r="AJ51" s="187"/>
      <c r="AK51" s="187"/>
      <c r="AL51" s="187"/>
      <c r="AM51" s="188"/>
      <c r="AN51" s="57">
        <f t="shared" si="29"/>
        <v>190</v>
      </c>
      <c r="AO51" s="21"/>
      <c r="AP51" s="15">
        <f t="shared" ref="AP51:BB51" si="31">SUM(AP30:AP50)</f>
        <v>83</v>
      </c>
      <c r="AQ51" s="15">
        <f t="shared" si="31"/>
        <v>51</v>
      </c>
      <c r="AR51" s="15">
        <f t="shared" si="31"/>
        <v>48</v>
      </c>
      <c r="AS51" s="15">
        <f t="shared" si="31"/>
        <v>33</v>
      </c>
      <c r="AT51" s="15">
        <f t="shared" si="31"/>
        <v>34</v>
      </c>
      <c r="AU51" s="15">
        <f t="shared" si="31"/>
        <v>40</v>
      </c>
      <c r="AV51" s="15">
        <f t="shared" si="31"/>
        <v>28</v>
      </c>
      <c r="AW51" s="15">
        <f t="shared" si="31"/>
        <v>29</v>
      </c>
      <c r="AX51" s="15">
        <f t="shared" si="31"/>
        <v>78</v>
      </c>
      <c r="AY51" s="15">
        <f t="shared" si="31"/>
        <v>17</v>
      </c>
      <c r="AZ51" s="15">
        <f t="shared" si="31"/>
        <v>4</v>
      </c>
      <c r="BA51" s="15">
        <f t="shared" si="31"/>
        <v>41</v>
      </c>
      <c r="BB51" s="15">
        <f t="shared" si="31"/>
        <v>42</v>
      </c>
      <c r="BC51" s="15">
        <f t="shared" si="27"/>
        <v>528</v>
      </c>
      <c r="BD51" s="12"/>
      <c r="BE51" s="12"/>
      <c r="BF51" s="12"/>
      <c r="BG51" s="12"/>
      <c r="BH51" s="12"/>
    </row>
    <row r="52" spans="1:68" ht="28.5" customHeight="1">
      <c r="A52" s="196"/>
      <c r="B52" s="197"/>
      <c r="C52" s="198"/>
      <c r="D52" s="181"/>
      <c r="E52" s="149">
        <f>E51*5</f>
        <v>180</v>
      </c>
      <c r="F52" s="199"/>
      <c r="G52" s="199"/>
      <c r="H52" s="199"/>
      <c r="I52" s="199"/>
      <c r="J52" s="199"/>
      <c r="K52" s="200"/>
      <c r="L52" s="150">
        <f>L51*7-7</f>
        <v>273</v>
      </c>
      <c r="M52" s="197"/>
      <c r="N52" s="197"/>
      <c r="O52" s="197"/>
      <c r="P52" s="197"/>
      <c r="Q52" s="197"/>
      <c r="R52" s="182"/>
      <c r="S52" s="149">
        <f>S51*5</f>
        <v>195</v>
      </c>
      <c r="T52" s="199"/>
      <c r="U52" s="199"/>
      <c r="V52" s="199"/>
      <c r="W52" s="199"/>
      <c r="X52" s="199"/>
      <c r="Y52" s="200"/>
      <c r="Z52" s="149">
        <f>Z51*5-1</f>
        <v>199</v>
      </c>
      <c r="AA52" s="199"/>
      <c r="AB52" s="199"/>
      <c r="AC52" s="199"/>
      <c r="AD52" s="199"/>
      <c r="AE52" s="199"/>
      <c r="AF52" s="200"/>
      <c r="AG52" s="149">
        <f>AG51*7-3</f>
        <v>242</v>
      </c>
      <c r="AH52" s="199"/>
      <c r="AI52" s="199"/>
      <c r="AJ52" s="199"/>
      <c r="AK52" s="199"/>
      <c r="AL52" s="199"/>
      <c r="AM52" s="200"/>
      <c r="AN52" s="58">
        <f t="shared" si="29"/>
        <v>1089</v>
      </c>
      <c r="AO52" s="21"/>
      <c r="AP52" s="25">
        <f t="shared" ref="AP52:BC52" si="32">SUM(AP26+AP51)</f>
        <v>170</v>
      </c>
      <c r="AQ52" s="25">
        <f t="shared" si="32"/>
        <v>102</v>
      </c>
      <c r="AR52" s="25">
        <f t="shared" si="32"/>
        <v>102</v>
      </c>
      <c r="AS52" s="25">
        <f t="shared" si="32"/>
        <v>68</v>
      </c>
      <c r="AT52" s="25">
        <f t="shared" si="32"/>
        <v>68</v>
      </c>
      <c r="AU52" s="25">
        <f t="shared" si="32"/>
        <v>85</v>
      </c>
      <c r="AV52" s="25">
        <f t="shared" si="32"/>
        <v>59</v>
      </c>
      <c r="AW52" s="25">
        <f t="shared" si="32"/>
        <v>60</v>
      </c>
      <c r="AX52" s="25">
        <f t="shared" si="32"/>
        <v>163</v>
      </c>
      <c r="AY52" s="25">
        <f t="shared" si="32"/>
        <v>34</v>
      </c>
      <c r="AZ52" s="25">
        <f t="shared" si="32"/>
        <v>8</v>
      </c>
      <c r="BA52" s="25">
        <f t="shared" si="32"/>
        <v>85</v>
      </c>
      <c r="BB52" s="25">
        <f t="shared" si="32"/>
        <v>85</v>
      </c>
      <c r="BC52" s="25">
        <f t="shared" si="32"/>
        <v>1089</v>
      </c>
      <c r="BD52" s="12"/>
      <c r="BE52" s="12"/>
      <c r="BF52" s="12"/>
      <c r="BG52" s="12"/>
      <c r="BH52" s="12"/>
    </row>
    <row r="53" spans="1:68" ht="15.75" customHeight="1">
      <c r="A53" s="10"/>
      <c r="B53" s="10"/>
      <c r="C53" s="24"/>
      <c r="D53" s="10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  <c r="AJ53" s="24"/>
      <c r="AK53" s="24"/>
      <c r="AL53" s="24"/>
      <c r="AM53" s="24"/>
      <c r="AN53" s="24"/>
      <c r="AO53" s="24"/>
      <c r="AP53" s="24"/>
      <c r="AQ53" s="24"/>
      <c r="AR53" s="24"/>
      <c r="AS53" s="24"/>
      <c r="AT53" s="24"/>
      <c r="AU53" s="24"/>
      <c r="AV53" s="24"/>
      <c r="AW53" s="24"/>
      <c r="AX53" s="24"/>
      <c r="AY53" s="24"/>
      <c r="AZ53" s="24"/>
      <c r="BA53" s="12"/>
      <c r="BB53" s="12"/>
      <c r="BC53" s="12"/>
      <c r="BD53" s="12"/>
      <c r="BE53" s="12"/>
      <c r="BF53" s="12"/>
      <c r="BG53" s="12"/>
    </row>
    <row r="54" spans="1:68" ht="21" customHeight="1">
      <c r="A54" s="3"/>
      <c r="B54" s="3"/>
      <c r="C54" s="3"/>
      <c r="D54" s="151" t="s">
        <v>87</v>
      </c>
      <c r="E54" s="152" t="s">
        <v>88</v>
      </c>
      <c r="F54" s="201"/>
      <c r="G54" s="202"/>
      <c r="H54" s="152" t="s">
        <v>89</v>
      </c>
      <c r="I54" s="201"/>
      <c r="J54" s="202"/>
      <c r="K54" s="152" t="s">
        <v>90</v>
      </c>
      <c r="L54" s="201"/>
      <c r="M54" s="202"/>
      <c r="N54" s="152" t="s">
        <v>91</v>
      </c>
      <c r="O54" s="201"/>
      <c r="P54" s="202"/>
      <c r="Q54" s="152" t="s">
        <v>92</v>
      </c>
      <c r="R54" s="201"/>
      <c r="S54" s="202"/>
      <c r="T54" s="152" t="s">
        <v>93</v>
      </c>
      <c r="U54" s="201"/>
      <c r="V54" s="202"/>
      <c r="W54" s="152" t="s">
        <v>94</v>
      </c>
      <c r="X54" s="201"/>
      <c r="Y54" s="202"/>
      <c r="Z54" s="152" t="s">
        <v>95</v>
      </c>
      <c r="AA54" s="201"/>
      <c r="AB54" s="202"/>
      <c r="AC54" s="153" t="s">
        <v>96</v>
      </c>
      <c r="AD54" s="203"/>
      <c r="AE54" s="203"/>
      <c r="AF54" s="203"/>
      <c r="AG54" s="203"/>
      <c r="AH54" s="204"/>
      <c r="AI54" s="154" t="s">
        <v>97</v>
      </c>
      <c r="AJ54" s="203"/>
      <c r="AK54" s="203"/>
      <c r="AL54" s="204"/>
      <c r="AM54" s="155" t="s">
        <v>28</v>
      </c>
      <c r="AN54" s="202"/>
      <c r="AO54" s="156" t="s">
        <v>98</v>
      </c>
      <c r="AP54" s="205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</row>
    <row r="55" spans="1:68" ht="21" customHeight="1">
      <c r="A55" s="3"/>
      <c r="B55" s="3"/>
      <c r="C55" s="3"/>
      <c r="D55" s="206"/>
      <c r="E55" s="207"/>
      <c r="F55" s="208"/>
      <c r="G55" s="209"/>
      <c r="H55" s="207"/>
      <c r="I55" s="208"/>
      <c r="J55" s="209"/>
      <c r="K55" s="207"/>
      <c r="L55" s="208"/>
      <c r="M55" s="209"/>
      <c r="N55" s="207"/>
      <c r="O55" s="208"/>
      <c r="P55" s="209"/>
      <c r="Q55" s="207"/>
      <c r="R55" s="208"/>
      <c r="S55" s="209"/>
      <c r="T55" s="207"/>
      <c r="U55" s="208"/>
      <c r="V55" s="209"/>
      <c r="W55" s="207"/>
      <c r="X55" s="208"/>
      <c r="Y55" s="209"/>
      <c r="Z55" s="207"/>
      <c r="AA55" s="208"/>
      <c r="AB55" s="209"/>
      <c r="AC55" s="157" t="s">
        <v>99</v>
      </c>
      <c r="AD55" s="210"/>
      <c r="AE55" s="157" t="s">
        <v>100</v>
      </c>
      <c r="AF55" s="210"/>
      <c r="AG55" s="158" t="s">
        <v>101</v>
      </c>
      <c r="AH55" s="210"/>
      <c r="AI55" s="159" t="s">
        <v>102</v>
      </c>
      <c r="AJ55" s="210"/>
      <c r="AK55" s="158" t="s">
        <v>103</v>
      </c>
      <c r="AL55" s="211"/>
      <c r="AM55" s="207"/>
      <c r="AN55" s="209"/>
      <c r="AO55" s="212"/>
      <c r="AP55" s="21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</row>
    <row r="56" spans="1:68" ht="21" customHeight="1">
      <c r="A56" s="3"/>
      <c r="B56" s="3"/>
      <c r="C56" s="3"/>
      <c r="D56" s="39" t="s">
        <v>104</v>
      </c>
      <c r="E56" s="160">
        <v>170</v>
      </c>
      <c r="F56" s="214"/>
      <c r="G56" s="210"/>
      <c r="H56" s="160">
        <v>102</v>
      </c>
      <c r="I56" s="214"/>
      <c r="J56" s="210"/>
      <c r="K56" s="160">
        <v>102</v>
      </c>
      <c r="L56" s="214"/>
      <c r="M56" s="210"/>
      <c r="N56" s="160">
        <v>68</v>
      </c>
      <c r="O56" s="214"/>
      <c r="P56" s="210"/>
      <c r="Q56" s="160">
        <v>68</v>
      </c>
      <c r="R56" s="214"/>
      <c r="S56" s="210"/>
      <c r="T56" s="160">
        <v>85</v>
      </c>
      <c r="U56" s="214"/>
      <c r="V56" s="210"/>
      <c r="W56" s="160">
        <v>59</v>
      </c>
      <c r="X56" s="214"/>
      <c r="Y56" s="210"/>
      <c r="Z56" s="160">
        <v>60</v>
      </c>
      <c r="AA56" s="214"/>
      <c r="AB56" s="210"/>
      <c r="AC56" s="160">
        <v>162</v>
      </c>
      <c r="AD56" s="210"/>
      <c r="AE56" s="160">
        <v>34</v>
      </c>
      <c r="AF56" s="210"/>
      <c r="AG56" s="160">
        <v>8</v>
      </c>
      <c r="AH56" s="210"/>
      <c r="AI56" s="160">
        <v>85</v>
      </c>
      <c r="AJ56" s="210"/>
      <c r="AK56" s="160">
        <v>85</v>
      </c>
      <c r="AL56" s="210"/>
      <c r="AM56" s="160">
        <f t="shared" ref="AM56:AM58" si="33">SUM(E56:AL56)</f>
        <v>1088</v>
      </c>
      <c r="AN56" s="210"/>
      <c r="AO56" s="212"/>
      <c r="AP56" s="21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</row>
    <row r="57" spans="1:68" ht="21" customHeight="1">
      <c r="A57" s="3"/>
      <c r="B57" s="3"/>
      <c r="C57" s="3"/>
      <c r="D57" s="32" t="s">
        <v>105</v>
      </c>
      <c r="E57" s="161">
        <f>COUNTIF($E$5:$AM$25,"=국")</f>
        <v>87</v>
      </c>
      <c r="F57" s="187"/>
      <c r="G57" s="215"/>
      <c r="H57" s="161">
        <f>COUNTIF($E$5:$AM$25,"=수")</f>
        <v>51</v>
      </c>
      <c r="I57" s="187"/>
      <c r="J57" s="215"/>
      <c r="K57" s="161">
        <f>COUNTIF($E$5:$AM$25,"=사")</f>
        <v>54</v>
      </c>
      <c r="L57" s="187"/>
      <c r="M57" s="215"/>
      <c r="N57" s="162">
        <f>COUNTIF($E$5:$AM$25,"=과")</f>
        <v>35</v>
      </c>
      <c r="O57" s="216"/>
      <c r="P57" s="217"/>
      <c r="Q57" s="161">
        <f>COUNTIF($E$5:$AM$25,"=실")</f>
        <v>34</v>
      </c>
      <c r="R57" s="187"/>
      <c r="S57" s="215"/>
      <c r="T57" s="162">
        <f>COUNTIF($E$5:$AM$25,"=체")</f>
        <v>45</v>
      </c>
      <c r="U57" s="216"/>
      <c r="V57" s="217"/>
      <c r="W57" s="162">
        <f>COUNTIF($E$5:$AM$25,"=음")</f>
        <v>31</v>
      </c>
      <c r="X57" s="216"/>
      <c r="Y57" s="217"/>
      <c r="Z57" s="162">
        <f>COUNTIF($E$5:$AM$25,"=미")</f>
        <v>31</v>
      </c>
      <c r="AA57" s="216"/>
      <c r="AB57" s="217"/>
      <c r="AC57" s="161">
        <f>COUNTIF($E$5:$AM$25,"=자")</f>
        <v>85</v>
      </c>
      <c r="AD57" s="215"/>
      <c r="AE57" s="161">
        <f>COUNTIF($E$5:$AM$25,"=동")</f>
        <v>17</v>
      </c>
      <c r="AF57" s="215"/>
      <c r="AG57" s="161">
        <f>COUNTIF($E$5:$AM$25,"=진")</f>
        <v>4</v>
      </c>
      <c r="AH57" s="215"/>
      <c r="AI57" s="161">
        <f>COUNTIF($E$5:$AM$25,"=의")</f>
        <v>44</v>
      </c>
      <c r="AJ57" s="215"/>
      <c r="AK57" s="161">
        <f>COUNTIF($E$5:$AM$25,"=선")</f>
        <v>43</v>
      </c>
      <c r="AL57" s="215"/>
      <c r="AM57" s="161">
        <f t="shared" si="33"/>
        <v>561</v>
      </c>
      <c r="AN57" s="215"/>
      <c r="AO57" s="212"/>
      <c r="AP57" s="21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</row>
    <row r="58" spans="1:68" ht="21" customHeight="1">
      <c r="A58" s="3"/>
      <c r="B58" s="3"/>
      <c r="C58" s="3"/>
      <c r="D58" s="32" t="s">
        <v>106</v>
      </c>
      <c r="E58" s="161">
        <f>COUNTIF($E$30:$AM$49,"=국")</f>
        <v>83</v>
      </c>
      <c r="F58" s="187"/>
      <c r="G58" s="215"/>
      <c r="H58" s="161">
        <f>COUNTIF($E$30:$AM$49,"=수")</f>
        <v>51</v>
      </c>
      <c r="I58" s="187"/>
      <c r="J58" s="215"/>
      <c r="K58" s="161">
        <f>COUNTIF($E$30:$AM$49,"=사")</f>
        <v>48</v>
      </c>
      <c r="L58" s="187"/>
      <c r="M58" s="215"/>
      <c r="N58" s="162">
        <f>COUNTIF($E$30:$AM$49,"=과")</f>
        <v>33</v>
      </c>
      <c r="O58" s="216"/>
      <c r="P58" s="217"/>
      <c r="Q58" s="161">
        <f>COUNTIF($E$30:$AM$49,"=실")</f>
        <v>34</v>
      </c>
      <c r="R58" s="187"/>
      <c r="S58" s="215"/>
      <c r="T58" s="162">
        <f>COUNTIF($E$30:$AM$49,"=체")</f>
        <v>40</v>
      </c>
      <c r="U58" s="216"/>
      <c r="V58" s="217"/>
      <c r="W58" s="162">
        <f>COUNTIF($E$30:$AM$49,"=음")</f>
        <v>28</v>
      </c>
      <c r="X58" s="216"/>
      <c r="Y58" s="217"/>
      <c r="Z58" s="162">
        <f>COUNTIF($E$30:$AM$49,"=미")</f>
        <v>29</v>
      </c>
      <c r="AA58" s="216"/>
      <c r="AB58" s="217"/>
      <c r="AC58" s="161">
        <f>COUNTIF($E$30:$AM$49,"=자")</f>
        <v>78</v>
      </c>
      <c r="AD58" s="215"/>
      <c r="AE58" s="161">
        <f>COUNTIF($E$30:$AM$49,"=동")</f>
        <v>17</v>
      </c>
      <c r="AF58" s="215"/>
      <c r="AG58" s="161">
        <f>COUNTIF($E$30:$AM$49,"=진")</f>
        <v>4</v>
      </c>
      <c r="AH58" s="215"/>
      <c r="AI58" s="161">
        <f>COUNTIF($E$30:$AM$49,"=의")</f>
        <v>41</v>
      </c>
      <c r="AJ58" s="215"/>
      <c r="AK58" s="161">
        <f>COUNTIF($E$30:$AM$49,"=선")</f>
        <v>42</v>
      </c>
      <c r="AL58" s="215"/>
      <c r="AM58" s="161">
        <f t="shared" si="33"/>
        <v>528</v>
      </c>
      <c r="AN58" s="215"/>
      <c r="AO58" s="212"/>
      <c r="AP58" s="21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</row>
    <row r="59" spans="1:68" ht="21" customHeight="1">
      <c r="A59" s="3"/>
      <c r="B59" s="3"/>
      <c r="C59" s="3"/>
      <c r="D59" s="31" t="s">
        <v>12</v>
      </c>
      <c r="E59" s="163">
        <f>SUM(E57:G58)</f>
        <v>170</v>
      </c>
      <c r="F59" s="187"/>
      <c r="G59" s="215"/>
      <c r="H59" s="163">
        <f>SUM(H57:J58)</f>
        <v>102</v>
      </c>
      <c r="I59" s="187"/>
      <c r="J59" s="215"/>
      <c r="K59" s="163">
        <f>SUM(K57:M58)</f>
        <v>102</v>
      </c>
      <c r="L59" s="187"/>
      <c r="M59" s="215"/>
      <c r="N59" s="163">
        <f>SUM(N57:P58)</f>
        <v>68</v>
      </c>
      <c r="O59" s="187"/>
      <c r="P59" s="215"/>
      <c r="Q59" s="163">
        <f>SUM(Q57:S58)</f>
        <v>68</v>
      </c>
      <c r="R59" s="187"/>
      <c r="S59" s="215"/>
      <c r="T59" s="163">
        <f>SUM(T57:V58)</f>
        <v>85</v>
      </c>
      <c r="U59" s="187"/>
      <c r="V59" s="215"/>
      <c r="W59" s="163">
        <f>SUM(W57:Y58)</f>
        <v>59</v>
      </c>
      <c r="X59" s="187"/>
      <c r="Y59" s="215"/>
      <c r="Z59" s="163">
        <f>SUM(Z57:AB58)</f>
        <v>60</v>
      </c>
      <c r="AA59" s="187"/>
      <c r="AB59" s="215"/>
      <c r="AC59" s="163">
        <f>SUM(AC57:AD58)</f>
        <v>163</v>
      </c>
      <c r="AD59" s="215"/>
      <c r="AE59" s="163">
        <f>SUM(AE57:AF58)</f>
        <v>34</v>
      </c>
      <c r="AF59" s="215"/>
      <c r="AG59" s="163">
        <f>SUM(AG57:AH58)</f>
        <v>8</v>
      </c>
      <c r="AH59" s="215"/>
      <c r="AI59" s="163">
        <f>SUM(AI57:AJ58)</f>
        <v>85</v>
      </c>
      <c r="AJ59" s="215"/>
      <c r="AK59" s="163">
        <f>SUM(AK57:AL58)</f>
        <v>85</v>
      </c>
      <c r="AL59" s="215"/>
      <c r="AM59" s="163">
        <f>SUM(AM57:AN58)</f>
        <v>1089</v>
      </c>
      <c r="AN59" s="215"/>
      <c r="AO59" s="212"/>
      <c r="AP59" s="21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</row>
    <row r="60" spans="1:68" ht="31.5" customHeight="1">
      <c r="A60" s="3"/>
      <c r="B60" s="3"/>
      <c r="C60" s="3"/>
      <c r="D60" s="33" t="s">
        <v>107</v>
      </c>
      <c r="E60" s="165">
        <f>SUM(E59-E56)</f>
        <v>0</v>
      </c>
      <c r="F60" s="199"/>
      <c r="G60" s="218"/>
      <c r="H60" s="165">
        <f>SUM(H59-H56)</f>
        <v>0</v>
      </c>
      <c r="I60" s="199"/>
      <c r="J60" s="218"/>
      <c r="K60" s="165">
        <f>SUM(K59-K56)</f>
        <v>0</v>
      </c>
      <c r="L60" s="199"/>
      <c r="M60" s="218"/>
      <c r="N60" s="165">
        <f>SUM(N59-N56)</f>
        <v>0</v>
      </c>
      <c r="O60" s="199"/>
      <c r="P60" s="218"/>
      <c r="Q60" s="165">
        <f>SUM(Q59-Q56)</f>
        <v>0</v>
      </c>
      <c r="R60" s="199"/>
      <c r="S60" s="218"/>
      <c r="T60" s="165">
        <f>SUM(T59-T56)</f>
        <v>0</v>
      </c>
      <c r="U60" s="199"/>
      <c r="V60" s="218"/>
      <c r="W60" s="165">
        <f>SUM(W59-W56)</f>
        <v>0</v>
      </c>
      <c r="X60" s="199"/>
      <c r="Y60" s="218"/>
      <c r="Z60" s="165">
        <f>SUM(Z59-Z56)</f>
        <v>0</v>
      </c>
      <c r="AA60" s="199"/>
      <c r="AB60" s="218"/>
      <c r="AC60" s="165">
        <f>SUM(AC59-AC56)</f>
        <v>1</v>
      </c>
      <c r="AD60" s="218"/>
      <c r="AE60" s="165">
        <f>SUM(AE59-AE56)</f>
        <v>0</v>
      </c>
      <c r="AF60" s="218"/>
      <c r="AG60" s="165">
        <f>SUM(AG59-AG56)</f>
        <v>0</v>
      </c>
      <c r="AH60" s="218"/>
      <c r="AI60" s="165">
        <f>AI59-AI56</f>
        <v>0</v>
      </c>
      <c r="AJ60" s="218"/>
      <c r="AK60" s="165">
        <f>AK59-AK56</f>
        <v>0</v>
      </c>
      <c r="AL60" s="218"/>
      <c r="AM60" s="165">
        <f>SUM(E60:AL60)</f>
        <v>1</v>
      </c>
      <c r="AN60" s="218"/>
      <c r="AO60" s="164" t="str">
        <f>IF(AN52=AM59,"OK","FALSE")</f>
        <v>OK</v>
      </c>
      <c r="AP60" s="182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</row>
    <row r="61" spans="1:68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</row>
    <row r="62" spans="1:68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</row>
    <row r="63" spans="1:68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</row>
    <row r="64" spans="1:68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</row>
    <row r="65" spans="1:59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</row>
    <row r="66" spans="1:59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</row>
    <row r="67" spans="1:59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</row>
    <row r="68" spans="1:59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</row>
    <row r="69" spans="1:5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</row>
    <row r="70" spans="1:59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</row>
    <row r="71" spans="1:59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</row>
    <row r="72" spans="1:59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</row>
    <row r="73" spans="1:59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</row>
    <row r="74" spans="1:59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</row>
    <row r="75" spans="1:59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</row>
    <row r="76" spans="1:59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</row>
    <row r="77" spans="1:59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</row>
    <row r="78" spans="1:59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</row>
    <row r="79" spans="1:5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</row>
    <row r="80" spans="1:59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</row>
    <row r="81" spans="1:59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</row>
    <row r="82" spans="1:59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</row>
    <row r="83" spans="1:59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</row>
    <row r="84" spans="1:59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</row>
    <row r="85" spans="1:59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</row>
    <row r="86" spans="1:59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</row>
    <row r="87" spans="1:59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</row>
    <row r="88" spans="1:59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</row>
    <row r="89" spans="1:5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</row>
    <row r="90" spans="1:59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</row>
    <row r="91" spans="1:59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</row>
    <row r="92" spans="1:59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</row>
    <row r="93" spans="1:59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</row>
    <row r="94" spans="1:59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</row>
    <row r="95" spans="1:59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</row>
    <row r="96" spans="1:59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</row>
    <row r="97" spans="1:59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</row>
    <row r="98" spans="1:59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</row>
    <row r="99" spans="1:5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</row>
    <row r="100" spans="1:59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</row>
    <row r="101" spans="1:59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</row>
    <row r="102" spans="1:59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</row>
    <row r="103" spans="1:59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</row>
    <row r="104" spans="1:59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</row>
    <row r="105" spans="1:59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</row>
    <row r="106" spans="1:59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</row>
    <row r="107" spans="1:59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</row>
    <row r="108" spans="1:59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</row>
    <row r="109" spans="1:5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</row>
    <row r="110" spans="1:59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</row>
    <row r="111" spans="1:59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</row>
    <row r="112" spans="1:59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</row>
    <row r="113" spans="1:59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</row>
    <row r="114" spans="1:59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</row>
    <row r="115" spans="1:59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</row>
    <row r="116" spans="1:59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</row>
    <row r="117" spans="1:59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</row>
    <row r="118" spans="1:59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</row>
    <row r="119" spans="1:5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</row>
    <row r="120" spans="1:59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</row>
    <row r="121" spans="1:59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</row>
    <row r="122" spans="1:59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</row>
    <row r="123" spans="1:59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</row>
    <row r="124" spans="1:59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</row>
    <row r="125" spans="1:59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</row>
    <row r="126" spans="1:59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</row>
    <row r="127" spans="1:59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</row>
    <row r="128" spans="1:59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</row>
    <row r="129" spans="1:5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</row>
    <row r="130" spans="1:59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</row>
    <row r="131" spans="1:59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</row>
    <row r="132" spans="1:59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</row>
    <row r="133" spans="1:59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</row>
    <row r="134" spans="1:59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</row>
    <row r="135" spans="1:59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</row>
    <row r="136" spans="1:59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</row>
    <row r="137" spans="1:59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</row>
    <row r="138" spans="1:59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</row>
    <row r="139" spans="1:5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</row>
    <row r="140" spans="1:59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</row>
    <row r="141" spans="1:59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</row>
    <row r="142" spans="1:59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</row>
    <row r="143" spans="1:59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</row>
    <row r="144" spans="1:59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</row>
    <row r="145" spans="1:59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</row>
    <row r="146" spans="1:59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</row>
    <row r="147" spans="1:59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</row>
    <row r="148" spans="1:59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</row>
    <row r="149" spans="1:5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</row>
    <row r="150" spans="1:59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</row>
    <row r="151" spans="1:59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</row>
    <row r="152" spans="1:59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</row>
    <row r="153" spans="1:59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</row>
    <row r="154" spans="1:59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</row>
    <row r="155" spans="1:59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</row>
    <row r="156" spans="1:59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</row>
    <row r="157" spans="1:59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</row>
    <row r="158" spans="1:59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</row>
    <row r="159" spans="1: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</row>
    <row r="160" spans="1:59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</row>
    <row r="161" spans="1:59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</row>
    <row r="162" spans="1:59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</row>
    <row r="163" spans="1:59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</row>
    <row r="164" spans="1:59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</row>
    <row r="165" spans="1:59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</row>
    <row r="166" spans="1:59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</row>
    <row r="167" spans="1:59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</row>
    <row r="168" spans="1:59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</row>
    <row r="169" spans="1:5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</row>
    <row r="170" spans="1:59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</row>
    <row r="171" spans="1:59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</row>
    <row r="172" spans="1:59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</row>
    <row r="173" spans="1:59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</row>
    <row r="174" spans="1:59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</row>
    <row r="175" spans="1:59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</row>
    <row r="176" spans="1:59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</row>
    <row r="177" spans="1:59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</row>
    <row r="178" spans="1:59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</row>
    <row r="179" spans="1:5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</row>
    <row r="180" spans="1:59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</row>
    <row r="181" spans="1:59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</row>
    <row r="182" spans="1:59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</row>
    <row r="183" spans="1:59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</row>
    <row r="184" spans="1:59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</row>
    <row r="185" spans="1:59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</row>
    <row r="186" spans="1:59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</row>
    <row r="187" spans="1:59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</row>
    <row r="188" spans="1:59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</row>
    <row r="189" spans="1:5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</row>
    <row r="190" spans="1:59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</row>
    <row r="191" spans="1:59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</row>
    <row r="192" spans="1:59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</row>
    <row r="193" spans="1:59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</row>
    <row r="194" spans="1:59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</row>
    <row r="195" spans="1:59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</row>
    <row r="196" spans="1:59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</row>
    <row r="197" spans="1:59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</row>
    <row r="198" spans="1:59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</row>
    <row r="199" spans="1:5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</row>
    <row r="200" spans="1:59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</row>
    <row r="201" spans="1:59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</row>
    <row r="202" spans="1:59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</row>
    <row r="203" spans="1:59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</row>
    <row r="204" spans="1:59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</row>
    <row r="205" spans="1:59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</row>
    <row r="206" spans="1:59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</row>
    <row r="207" spans="1:59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</row>
    <row r="208" spans="1:59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</row>
    <row r="209" spans="1:5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</row>
    <row r="210" spans="1:59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</row>
    <row r="211" spans="1:59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</row>
    <row r="212" spans="1:59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</row>
    <row r="213" spans="1:59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</row>
    <row r="214" spans="1:59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</row>
    <row r="215" spans="1:59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</row>
    <row r="216" spans="1:59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</row>
    <row r="217" spans="1:59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</row>
    <row r="218" spans="1:59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</row>
    <row r="219" spans="1:5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</row>
    <row r="220" spans="1:59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</row>
    <row r="221" spans="1:59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</row>
    <row r="222" spans="1:59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</row>
    <row r="223" spans="1:59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</row>
    <row r="224" spans="1:59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</row>
    <row r="225" spans="1:59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</row>
    <row r="226" spans="1:59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</row>
    <row r="227" spans="1:59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</row>
    <row r="228" spans="1:59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</row>
    <row r="229" spans="1:5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</row>
    <row r="230" spans="1:59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</row>
    <row r="231" spans="1:59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</row>
    <row r="232" spans="1:59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</row>
    <row r="233" spans="1:59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</row>
    <row r="234" spans="1:59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</row>
    <row r="235" spans="1:59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</row>
    <row r="236" spans="1:59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</row>
    <row r="237" spans="1:59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</row>
    <row r="238" spans="1:59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</row>
    <row r="239" spans="1:5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</row>
    <row r="240" spans="1:59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</row>
    <row r="241" spans="1:59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</row>
    <row r="242" spans="1:59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</row>
    <row r="243" spans="1:59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</row>
    <row r="244" spans="1:59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</row>
    <row r="245" spans="1:59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</row>
    <row r="246" spans="1:59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</row>
    <row r="247" spans="1:59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</row>
    <row r="248" spans="1:59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</row>
    <row r="249" spans="1:5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</row>
    <row r="250" spans="1:59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</row>
    <row r="251" spans="1:59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</row>
    <row r="252" spans="1:59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</row>
    <row r="253" spans="1:59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</row>
    <row r="254" spans="1:59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</row>
    <row r="255" spans="1:59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</row>
    <row r="256" spans="1:59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</row>
    <row r="257" spans="1:59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</row>
    <row r="258" spans="1:59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</row>
    <row r="259" spans="1: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</row>
    <row r="260" spans="1:59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</row>
    <row r="261" spans="1:59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</row>
    <row r="262" spans="1:59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</row>
    <row r="263" spans="1:59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</row>
    <row r="264" spans="1:59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</row>
    <row r="265" spans="1:59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</row>
    <row r="266" spans="1:59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</row>
    <row r="267" spans="1:59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</row>
    <row r="268" spans="1:59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</row>
    <row r="269" spans="1:5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</row>
    <row r="270" spans="1:59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</row>
    <row r="271" spans="1:59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</row>
    <row r="272" spans="1:59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</row>
    <row r="273" spans="1:59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</row>
    <row r="274" spans="1:59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</row>
    <row r="275" spans="1:59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</row>
    <row r="276" spans="1:59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</row>
    <row r="277" spans="1:59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</row>
    <row r="278" spans="1:59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</row>
    <row r="279" spans="1:5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</row>
    <row r="280" spans="1:59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</row>
    <row r="281" spans="1:59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</row>
    <row r="282" spans="1:59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</row>
    <row r="283" spans="1:59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</row>
    <row r="284" spans="1:59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</row>
    <row r="285" spans="1:59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</row>
    <row r="286" spans="1:59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</row>
    <row r="287" spans="1:59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</row>
    <row r="288" spans="1:59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</row>
    <row r="289" spans="1:5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</row>
    <row r="290" spans="1:59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</row>
    <row r="291" spans="1:59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</row>
    <row r="292" spans="1:59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</row>
    <row r="293" spans="1:59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</row>
    <row r="294" spans="1:59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</row>
    <row r="295" spans="1:59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</row>
    <row r="296" spans="1:59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</row>
    <row r="297" spans="1:59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</row>
    <row r="298" spans="1:59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</row>
    <row r="299" spans="1:5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</row>
    <row r="300" spans="1:59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</row>
    <row r="301" spans="1:59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</row>
    <row r="302" spans="1:59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</row>
    <row r="303" spans="1:59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</row>
    <row r="304" spans="1:59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</row>
    <row r="305" spans="1:59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</row>
    <row r="306" spans="1:59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</row>
    <row r="307" spans="1:59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</row>
    <row r="308" spans="1:59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</row>
    <row r="309" spans="1:5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</row>
    <row r="310" spans="1:59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</row>
    <row r="311" spans="1:59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</row>
    <row r="312" spans="1:59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</row>
    <row r="313" spans="1:59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</row>
    <row r="314" spans="1:59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</row>
    <row r="315" spans="1:59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</row>
    <row r="316" spans="1:59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</row>
    <row r="317" spans="1:59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</row>
    <row r="318" spans="1:59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</row>
    <row r="319" spans="1:5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</row>
    <row r="320" spans="1:59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</row>
    <row r="321" spans="1:59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</row>
    <row r="322" spans="1:59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</row>
    <row r="323" spans="1:59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</row>
    <row r="324" spans="1:59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</row>
    <row r="325" spans="1:59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</row>
    <row r="326" spans="1:59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</row>
    <row r="327" spans="1:59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</row>
    <row r="328" spans="1:59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</row>
    <row r="329" spans="1:5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</row>
    <row r="330" spans="1:59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</row>
    <row r="331" spans="1:59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</row>
    <row r="332" spans="1:59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</row>
    <row r="333" spans="1:59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</row>
    <row r="334" spans="1:59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</row>
    <row r="335" spans="1:59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</row>
    <row r="336" spans="1:59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</row>
    <row r="337" spans="1:59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</row>
    <row r="338" spans="1:59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</row>
    <row r="339" spans="1:5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</row>
    <row r="340" spans="1:59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</row>
    <row r="341" spans="1:59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</row>
    <row r="342" spans="1:59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</row>
    <row r="343" spans="1:59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</row>
    <row r="344" spans="1:59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</row>
    <row r="345" spans="1:59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</row>
    <row r="346" spans="1:59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</row>
    <row r="347" spans="1:59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</row>
    <row r="348" spans="1:59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</row>
    <row r="349" spans="1:5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</row>
    <row r="350" spans="1:59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</row>
    <row r="351" spans="1:59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</row>
    <row r="352" spans="1:59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</row>
    <row r="353" spans="1:59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</row>
    <row r="354" spans="1:59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</row>
    <row r="355" spans="1:59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</row>
    <row r="356" spans="1:59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</row>
    <row r="357" spans="1:59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</row>
    <row r="358" spans="1:59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</row>
    <row r="359" spans="1: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</row>
    <row r="360" spans="1:59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</row>
    <row r="361" spans="1:59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</row>
    <row r="362" spans="1:59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</row>
    <row r="363" spans="1:59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</row>
    <row r="364" spans="1:59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</row>
    <row r="365" spans="1:59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</row>
    <row r="366" spans="1:59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</row>
    <row r="367" spans="1:59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</row>
    <row r="368" spans="1:59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</row>
    <row r="369" spans="1:5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</row>
    <row r="370" spans="1:59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</row>
    <row r="371" spans="1:59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</row>
    <row r="372" spans="1:59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</row>
    <row r="373" spans="1:59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</row>
    <row r="374" spans="1:59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</row>
    <row r="375" spans="1:59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</row>
    <row r="376" spans="1:59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</row>
    <row r="377" spans="1:59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</row>
    <row r="378" spans="1:59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</row>
    <row r="379" spans="1:5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</row>
    <row r="380" spans="1:59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</row>
    <row r="381" spans="1:59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</row>
    <row r="382" spans="1:59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</row>
    <row r="383" spans="1:59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</row>
    <row r="384" spans="1:59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</row>
    <row r="385" spans="1:59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</row>
    <row r="386" spans="1:59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</row>
    <row r="387" spans="1:59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</row>
    <row r="388" spans="1:59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</row>
    <row r="389" spans="1:5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</row>
    <row r="390" spans="1:59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</row>
    <row r="391" spans="1:59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</row>
    <row r="392" spans="1:59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</row>
    <row r="393" spans="1:59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</row>
    <row r="394" spans="1:59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</row>
    <row r="395" spans="1:59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</row>
    <row r="396" spans="1:59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</row>
    <row r="397" spans="1:59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</row>
    <row r="398" spans="1:59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</row>
    <row r="399" spans="1:5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</row>
    <row r="400" spans="1:59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</row>
    <row r="401" spans="1:59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</row>
    <row r="402" spans="1:59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</row>
    <row r="403" spans="1:59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</row>
    <row r="404" spans="1:59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</row>
    <row r="405" spans="1:59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</row>
    <row r="406" spans="1:59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</row>
    <row r="407" spans="1:59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</row>
    <row r="408" spans="1:59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</row>
    <row r="409" spans="1:5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</row>
    <row r="410" spans="1:59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</row>
    <row r="411" spans="1:59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</row>
    <row r="412" spans="1:59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</row>
    <row r="413" spans="1:59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</row>
    <row r="414" spans="1:59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</row>
    <row r="415" spans="1:59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</row>
    <row r="416" spans="1:59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</row>
    <row r="417" spans="1:59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</row>
    <row r="418" spans="1:59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</row>
    <row r="419" spans="1:5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</row>
    <row r="420" spans="1:59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</row>
    <row r="421" spans="1:59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</row>
    <row r="422" spans="1:59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</row>
    <row r="423" spans="1:59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</row>
    <row r="424" spans="1:59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</row>
    <row r="425" spans="1:59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</row>
    <row r="426" spans="1:59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</row>
    <row r="427" spans="1:59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</row>
    <row r="428" spans="1:59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</row>
    <row r="429" spans="1:5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</row>
    <row r="430" spans="1:59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</row>
    <row r="431" spans="1:59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</row>
    <row r="432" spans="1:59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</row>
    <row r="433" spans="1:59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</row>
    <row r="434" spans="1:59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</row>
    <row r="435" spans="1:59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</row>
    <row r="436" spans="1:59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</row>
    <row r="437" spans="1:59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</row>
    <row r="438" spans="1:59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</row>
    <row r="439" spans="1:5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</row>
    <row r="440" spans="1:59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</row>
    <row r="441" spans="1:59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</row>
    <row r="442" spans="1:59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</row>
    <row r="443" spans="1:59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</row>
    <row r="444" spans="1:59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</row>
    <row r="445" spans="1:59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</row>
    <row r="446" spans="1:59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</row>
    <row r="447" spans="1:59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</row>
    <row r="448" spans="1:59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</row>
    <row r="449" spans="1:5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</row>
    <row r="450" spans="1:59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</row>
    <row r="451" spans="1:59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</row>
    <row r="452" spans="1:59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</row>
    <row r="453" spans="1:59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</row>
    <row r="454" spans="1:59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</row>
    <row r="455" spans="1:59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</row>
    <row r="456" spans="1:59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</row>
    <row r="457" spans="1:59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</row>
    <row r="458" spans="1:59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</row>
    <row r="459" spans="1: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</row>
    <row r="460" spans="1:59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</row>
    <row r="461" spans="1:59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</row>
    <row r="462" spans="1:59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</row>
    <row r="463" spans="1:59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</row>
    <row r="464" spans="1:59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</row>
    <row r="465" spans="1:59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</row>
    <row r="466" spans="1:59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</row>
    <row r="467" spans="1:59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</row>
    <row r="468" spans="1:59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</row>
    <row r="469" spans="1:5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</row>
    <row r="470" spans="1:59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</row>
    <row r="471" spans="1:59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</row>
    <row r="472" spans="1:59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</row>
    <row r="473" spans="1:59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</row>
    <row r="474" spans="1:59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</row>
    <row r="475" spans="1:59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</row>
    <row r="476" spans="1:59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</row>
    <row r="477" spans="1:59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</row>
    <row r="478" spans="1:59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</row>
    <row r="479" spans="1:5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</row>
    <row r="480" spans="1:59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</row>
    <row r="481" spans="1:59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</row>
    <row r="482" spans="1:59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</row>
    <row r="483" spans="1:59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</row>
    <row r="484" spans="1:59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</row>
    <row r="485" spans="1:59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</row>
    <row r="486" spans="1:59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</row>
    <row r="487" spans="1:59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</row>
    <row r="488" spans="1:59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</row>
    <row r="489" spans="1:5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</row>
    <row r="490" spans="1:59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</row>
    <row r="491" spans="1:59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</row>
    <row r="492" spans="1:59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</row>
    <row r="493" spans="1:59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</row>
    <row r="494" spans="1:59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</row>
    <row r="495" spans="1:59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</row>
    <row r="496" spans="1:59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</row>
    <row r="497" spans="1:59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</row>
    <row r="498" spans="1:59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</row>
    <row r="499" spans="1:5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</row>
    <row r="500" spans="1:59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</row>
    <row r="501" spans="1:59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</row>
    <row r="502" spans="1:59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</row>
    <row r="503" spans="1:59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</row>
    <row r="504" spans="1:59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</row>
    <row r="505" spans="1:59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</row>
    <row r="506" spans="1:59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</row>
    <row r="507" spans="1:59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</row>
    <row r="508" spans="1:59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</row>
    <row r="509" spans="1:5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</row>
    <row r="510" spans="1:59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</row>
    <row r="511" spans="1:59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</row>
    <row r="512" spans="1:59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</row>
    <row r="513" spans="1:59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</row>
    <row r="514" spans="1:59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</row>
    <row r="515" spans="1:59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</row>
    <row r="516" spans="1:59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</row>
    <row r="517" spans="1:59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</row>
    <row r="518" spans="1:59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</row>
    <row r="519" spans="1:5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</row>
    <row r="520" spans="1:59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</row>
    <row r="521" spans="1:59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</row>
    <row r="522" spans="1:59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</row>
    <row r="523" spans="1:59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</row>
    <row r="524" spans="1:59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</row>
    <row r="525" spans="1:59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</row>
    <row r="526" spans="1:59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</row>
    <row r="527" spans="1:59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</row>
    <row r="528" spans="1:59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</row>
    <row r="529" spans="1:5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</row>
    <row r="530" spans="1:59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</row>
    <row r="531" spans="1:59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</row>
    <row r="532" spans="1:59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</row>
    <row r="533" spans="1:59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</row>
    <row r="534" spans="1:59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</row>
    <row r="535" spans="1:59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</row>
    <row r="536" spans="1:59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</row>
    <row r="537" spans="1:59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</row>
    <row r="538" spans="1:59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</row>
    <row r="539" spans="1:5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</row>
    <row r="540" spans="1:59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</row>
    <row r="541" spans="1:59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</row>
    <row r="542" spans="1:59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</row>
    <row r="543" spans="1:59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</row>
    <row r="544" spans="1:59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</row>
    <row r="545" spans="1:59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</row>
    <row r="546" spans="1:59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</row>
    <row r="547" spans="1:59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</row>
    <row r="548" spans="1:59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</row>
    <row r="549" spans="1:5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</row>
    <row r="550" spans="1:59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</row>
    <row r="551" spans="1:59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</row>
    <row r="552" spans="1:59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</row>
    <row r="553" spans="1:59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</row>
    <row r="554" spans="1:59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</row>
    <row r="555" spans="1:59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</row>
    <row r="556" spans="1:59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</row>
    <row r="557" spans="1:59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</row>
    <row r="558" spans="1:59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</row>
    <row r="559" spans="1: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</row>
    <row r="560" spans="1:59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</row>
    <row r="561" spans="1:59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</row>
    <row r="562" spans="1:59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</row>
    <row r="563" spans="1:59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</row>
    <row r="564" spans="1:59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</row>
    <row r="565" spans="1:59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</row>
    <row r="566" spans="1:59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</row>
    <row r="567" spans="1:59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</row>
    <row r="568" spans="1:59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</row>
    <row r="569" spans="1:5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</row>
    <row r="570" spans="1:59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</row>
    <row r="571" spans="1:59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</row>
    <row r="572" spans="1:59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</row>
    <row r="573" spans="1:59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</row>
    <row r="574" spans="1:59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</row>
    <row r="575" spans="1:59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</row>
    <row r="576" spans="1:59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</row>
    <row r="577" spans="1:59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</row>
    <row r="578" spans="1:59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</row>
    <row r="579" spans="1:5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</row>
    <row r="580" spans="1:59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</row>
    <row r="581" spans="1:59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</row>
    <row r="582" spans="1:59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</row>
    <row r="583" spans="1:59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</row>
    <row r="584" spans="1:59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</row>
    <row r="585" spans="1:59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</row>
    <row r="586" spans="1:59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</row>
    <row r="587" spans="1:59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</row>
    <row r="588" spans="1:59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</row>
    <row r="589" spans="1:5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</row>
    <row r="590" spans="1:59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</row>
    <row r="591" spans="1:59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</row>
    <row r="592" spans="1:59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</row>
    <row r="593" spans="1:59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</row>
    <row r="594" spans="1:59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</row>
    <row r="595" spans="1:59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</row>
    <row r="596" spans="1:59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</row>
    <row r="597" spans="1:59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</row>
    <row r="598" spans="1:59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</row>
    <row r="599" spans="1:5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</row>
    <row r="600" spans="1:59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</row>
    <row r="601" spans="1:59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</row>
    <row r="602" spans="1:59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</row>
    <row r="603" spans="1:59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</row>
    <row r="604" spans="1:59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</row>
    <row r="605" spans="1:59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</row>
    <row r="606" spans="1:59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</row>
    <row r="607" spans="1:59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</row>
    <row r="608" spans="1:59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</row>
    <row r="609" spans="1:5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</row>
    <row r="610" spans="1:59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</row>
    <row r="611" spans="1:59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</row>
    <row r="612" spans="1:59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</row>
    <row r="613" spans="1:59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</row>
    <row r="614" spans="1:59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</row>
    <row r="615" spans="1:59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</row>
    <row r="616" spans="1:59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</row>
    <row r="617" spans="1:59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</row>
    <row r="618" spans="1:59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</row>
    <row r="619" spans="1:5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</row>
    <row r="620" spans="1:59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</row>
    <row r="621" spans="1:59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</row>
    <row r="622" spans="1:59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</row>
    <row r="623" spans="1:59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</row>
    <row r="624" spans="1:59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3"/>
      <c r="BG624" s="3"/>
    </row>
    <row r="625" spans="1:59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  <c r="BG625" s="3"/>
    </row>
    <row r="626" spans="1:59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</row>
    <row r="627" spans="1:59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</row>
    <row r="628" spans="1:59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</row>
    <row r="629" spans="1:5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</row>
    <row r="630" spans="1:59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</row>
    <row r="631" spans="1:59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</row>
    <row r="632" spans="1:59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</row>
    <row r="633" spans="1:59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</row>
    <row r="634" spans="1:59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</row>
    <row r="635" spans="1:59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</row>
    <row r="636" spans="1:59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</row>
    <row r="637" spans="1:59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</row>
    <row r="638" spans="1:59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</row>
    <row r="639" spans="1:5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</row>
    <row r="640" spans="1:59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</row>
    <row r="641" spans="1:59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</row>
    <row r="642" spans="1:59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</row>
    <row r="643" spans="1:59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</row>
    <row r="644" spans="1:59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</row>
    <row r="645" spans="1:59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</row>
    <row r="646" spans="1:59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</row>
    <row r="647" spans="1:59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</row>
    <row r="648" spans="1:59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</row>
    <row r="649" spans="1:5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</row>
    <row r="650" spans="1:59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3"/>
    </row>
    <row r="651" spans="1:59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3"/>
      <c r="BG651" s="3"/>
    </row>
    <row r="652" spans="1:59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</row>
    <row r="653" spans="1:59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</row>
    <row r="654" spans="1:59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</row>
    <row r="655" spans="1:59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</row>
    <row r="656" spans="1:59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</row>
    <row r="657" spans="1:59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</row>
    <row r="658" spans="1:59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</row>
    <row r="659" spans="1: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</row>
    <row r="660" spans="1:59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</row>
    <row r="661" spans="1:59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</row>
    <row r="662" spans="1:59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</row>
    <row r="663" spans="1:59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</row>
    <row r="664" spans="1:59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</row>
    <row r="665" spans="1:59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</row>
    <row r="666" spans="1:59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</row>
    <row r="667" spans="1:59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</row>
    <row r="668" spans="1:59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</row>
    <row r="669" spans="1:5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</row>
    <row r="670" spans="1:59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</row>
    <row r="671" spans="1:59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</row>
    <row r="672" spans="1:59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</row>
    <row r="673" spans="1:59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</row>
    <row r="674" spans="1:59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</row>
    <row r="675" spans="1:59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</row>
    <row r="676" spans="1:59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</row>
    <row r="677" spans="1:59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  <c r="BG677" s="3"/>
    </row>
    <row r="678" spans="1:59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</row>
    <row r="679" spans="1:5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</row>
    <row r="680" spans="1:59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</row>
    <row r="681" spans="1:59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</row>
    <row r="682" spans="1:59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</row>
    <row r="683" spans="1:59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</row>
    <row r="684" spans="1:59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</row>
    <row r="685" spans="1:59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</row>
    <row r="686" spans="1:59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</row>
    <row r="687" spans="1:59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</row>
    <row r="688" spans="1:59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</row>
    <row r="689" spans="1:5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</row>
    <row r="690" spans="1:59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</row>
    <row r="691" spans="1:59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</row>
    <row r="692" spans="1:59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</row>
    <row r="693" spans="1:59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</row>
    <row r="694" spans="1:59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</row>
    <row r="695" spans="1:59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</row>
    <row r="696" spans="1:59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</row>
    <row r="697" spans="1:59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</row>
    <row r="698" spans="1:59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</row>
    <row r="699" spans="1:5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</row>
    <row r="700" spans="1:59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</row>
    <row r="701" spans="1:59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</row>
    <row r="702" spans="1:59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  <c r="BF702" s="3"/>
      <c r="BG702" s="3"/>
    </row>
    <row r="703" spans="1:59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  <c r="BG703" s="3"/>
    </row>
    <row r="704" spans="1:59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</row>
    <row r="705" spans="1:59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</row>
    <row r="706" spans="1:59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</row>
    <row r="707" spans="1:59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</row>
    <row r="708" spans="1:59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</row>
    <row r="709" spans="1:5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</row>
    <row r="710" spans="1:59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</row>
    <row r="711" spans="1:59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</row>
    <row r="712" spans="1:59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</row>
    <row r="713" spans="1:59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</row>
    <row r="714" spans="1:59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</row>
    <row r="715" spans="1:59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</row>
    <row r="716" spans="1:59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</row>
    <row r="717" spans="1:59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</row>
    <row r="718" spans="1:59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</row>
    <row r="719" spans="1:5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</row>
    <row r="720" spans="1:59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</row>
    <row r="721" spans="1:59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</row>
    <row r="722" spans="1:59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</row>
    <row r="723" spans="1:59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</row>
    <row r="724" spans="1:59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</row>
    <row r="725" spans="1:59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</row>
    <row r="726" spans="1:59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</row>
    <row r="727" spans="1:59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</row>
    <row r="728" spans="1:59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/>
      <c r="BG728" s="3"/>
    </row>
    <row r="729" spans="1:5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/>
      <c r="BF729" s="3"/>
      <c r="BG729" s="3"/>
    </row>
    <row r="730" spans="1:59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</row>
    <row r="731" spans="1:59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</row>
    <row r="732" spans="1:59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</row>
    <row r="733" spans="1:59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</row>
    <row r="734" spans="1:59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</row>
    <row r="735" spans="1:59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</row>
    <row r="736" spans="1:59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</row>
    <row r="737" spans="1:59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</row>
    <row r="738" spans="1:59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</row>
    <row r="739" spans="1:5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</row>
    <row r="740" spans="1:59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</row>
    <row r="741" spans="1:59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</row>
    <row r="742" spans="1:59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</row>
    <row r="743" spans="1:59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</row>
    <row r="744" spans="1:59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</row>
    <row r="745" spans="1:59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</row>
    <row r="746" spans="1:59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</row>
    <row r="747" spans="1:59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</row>
    <row r="748" spans="1:59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</row>
    <row r="749" spans="1:5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</row>
    <row r="750" spans="1:59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</row>
    <row r="751" spans="1:59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</row>
    <row r="752" spans="1:59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</row>
    <row r="753" spans="1:59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</row>
    <row r="754" spans="1:59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3"/>
      <c r="BF754" s="3"/>
      <c r="BG754" s="3"/>
    </row>
    <row r="755" spans="1:59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/>
      <c r="BF755" s="3"/>
      <c r="BG755" s="3"/>
    </row>
    <row r="756" spans="1:59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</row>
    <row r="757" spans="1:59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</row>
    <row r="758" spans="1:59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</row>
    <row r="759" spans="1: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</row>
    <row r="760" spans="1:59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</row>
    <row r="761" spans="1:59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</row>
    <row r="762" spans="1:59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</row>
    <row r="763" spans="1:59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</row>
    <row r="764" spans="1:59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</row>
    <row r="765" spans="1:59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</row>
    <row r="766" spans="1:59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</row>
    <row r="767" spans="1:59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</row>
    <row r="768" spans="1:59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</row>
    <row r="769" spans="1:5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</row>
    <row r="770" spans="1:59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</row>
    <row r="771" spans="1:59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</row>
    <row r="772" spans="1:59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</row>
    <row r="773" spans="1:59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</row>
    <row r="774" spans="1:59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</row>
    <row r="775" spans="1:59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</row>
    <row r="776" spans="1:59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</row>
    <row r="777" spans="1:59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</row>
    <row r="778" spans="1:59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</row>
    <row r="779" spans="1:5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</row>
    <row r="780" spans="1:59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  <c r="BE780" s="3"/>
      <c r="BF780" s="3"/>
      <c r="BG780" s="3"/>
    </row>
    <row r="781" spans="1:59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  <c r="BE781" s="3"/>
      <c r="BF781" s="3"/>
      <c r="BG781" s="3"/>
    </row>
    <row r="782" spans="1:59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</row>
    <row r="783" spans="1:59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</row>
    <row r="784" spans="1:59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</row>
    <row r="785" spans="1:59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</row>
    <row r="786" spans="1:59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</row>
    <row r="787" spans="1:59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</row>
    <row r="788" spans="1:59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</row>
    <row r="789" spans="1:5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</row>
    <row r="790" spans="1:59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</row>
    <row r="791" spans="1:59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</row>
    <row r="792" spans="1:59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</row>
    <row r="793" spans="1:59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</row>
    <row r="794" spans="1:59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</row>
    <row r="795" spans="1:59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</row>
    <row r="796" spans="1:59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</row>
    <row r="797" spans="1:59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</row>
    <row r="798" spans="1:59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</row>
    <row r="799" spans="1:5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</row>
    <row r="800" spans="1:59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</row>
    <row r="801" spans="1:59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</row>
    <row r="802" spans="1:59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</row>
    <row r="803" spans="1:59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</row>
    <row r="804" spans="1:59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</row>
    <row r="805" spans="1:59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</row>
    <row r="806" spans="1:59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</row>
    <row r="807" spans="1:59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</row>
    <row r="808" spans="1:59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</row>
    <row r="809" spans="1:5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</row>
    <row r="810" spans="1:59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</row>
    <row r="811" spans="1:59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</row>
    <row r="812" spans="1:59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</row>
    <row r="813" spans="1:59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</row>
    <row r="814" spans="1:59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</row>
    <row r="815" spans="1:59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</row>
    <row r="816" spans="1:59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</row>
    <row r="817" spans="1:59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</row>
    <row r="818" spans="1:59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</row>
    <row r="819" spans="1:5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</row>
    <row r="820" spans="1:59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</row>
    <row r="821" spans="1:59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</row>
    <row r="822" spans="1:59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</row>
    <row r="823" spans="1:59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</row>
    <row r="824" spans="1:59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</row>
    <row r="825" spans="1:59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</row>
    <row r="826" spans="1:59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</row>
    <row r="827" spans="1:59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</row>
    <row r="828" spans="1:59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</row>
    <row r="829" spans="1:5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</row>
    <row r="830" spans="1:59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</row>
    <row r="831" spans="1:59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</row>
    <row r="832" spans="1:59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</row>
    <row r="833" spans="1:59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</row>
    <row r="834" spans="1:59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</row>
    <row r="835" spans="1:59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</row>
    <row r="836" spans="1:59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</row>
    <row r="837" spans="1:59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</row>
    <row r="838" spans="1:59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</row>
    <row r="839" spans="1:5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</row>
    <row r="840" spans="1:59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</row>
    <row r="841" spans="1:59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</row>
    <row r="842" spans="1:59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</row>
    <row r="843" spans="1:59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</row>
    <row r="844" spans="1:59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</row>
    <row r="845" spans="1:59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</row>
    <row r="846" spans="1:59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</row>
    <row r="847" spans="1:59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</row>
    <row r="848" spans="1:59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</row>
    <row r="849" spans="1:5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</row>
    <row r="850" spans="1:59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</row>
    <row r="851" spans="1:59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</row>
    <row r="852" spans="1:59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</row>
    <row r="853" spans="1:59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</row>
    <row r="854" spans="1:59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</row>
    <row r="855" spans="1:59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</row>
    <row r="856" spans="1:59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</row>
    <row r="857" spans="1:59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</row>
    <row r="858" spans="1:59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</row>
    <row r="859" spans="1: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  <c r="BG859" s="3"/>
    </row>
    <row r="860" spans="1:59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</row>
    <row r="861" spans="1:59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</row>
    <row r="862" spans="1:59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</row>
    <row r="863" spans="1:59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</row>
    <row r="864" spans="1:59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</row>
    <row r="865" spans="1:59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</row>
    <row r="866" spans="1:59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</row>
    <row r="867" spans="1:59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</row>
    <row r="868" spans="1:59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</row>
    <row r="869" spans="1:5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</row>
    <row r="870" spans="1:59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</row>
    <row r="871" spans="1:59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</row>
    <row r="872" spans="1:59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</row>
    <row r="873" spans="1:59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</row>
    <row r="874" spans="1:59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</row>
    <row r="875" spans="1:59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</row>
    <row r="876" spans="1:59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</row>
    <row r="877" spans="1:59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</row>
    <row r="878" spans="1:59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</row>
    <row r="879" spans="1:5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</row>
    <row r="880" spans="1:59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</row>
    <row r="881" spans="1:59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</row>
    <row r="882" spans="1:59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</row>
    <row r="883" spans="1:59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</row>
    <row r="884" spans="1:59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</row>
    <row r="885" spans="1:59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</row>
    <row r="886" spans="1:59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</row>
    <row r="887" spans="1:59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</row>
    <row r="888" spans="1:59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</row>
    <row r="889" spans="1:5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</row>
    <row r="890" spans="1:59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</row>
    <row r="891" spans="1:59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</row>
    <row r="892" spans="1:59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</row>
    <row r="893" spans="1:59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</row>
    <row r="894" spans="1:59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</row>
    <row r="895" spans="1:59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</row>
    <row r="896" spans="1:59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</row>
    <row r="897" spans="1:59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</row>
    <row r="898" spans="1:59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</row>
    <row r="899" spans="1:5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</row>
    <row r="900" spans="1:59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</row>
    <row r="901" spans="1:59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</row>
    <row r="902" spans="1:59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</row>
    <row r="903" spans="1:59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</row>
    <row r="904" spans="1:59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</row>
    <row r="905" spans="1:59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</row>
    <row r="906" spans="1:59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</row>
    <row r="907" spans="1:59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</row>
    <row r="908" spans="1:59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</row>
    <row r="909" spans="1:5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</row>
    <row r="910" spans="1:59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</row>
    <row r="911" spans="1:59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/>
    </row>
    <row r="912" spans="1:59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</row>
    <row r="913" spans="1:59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</row>
    <row r="914" spans="1:59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</row>
    <row r="915" spans="1:59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</row>
    <row r="916" spans="1:59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</row>
    <row r="917" spans="1:59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</row>
    <row r="918" spans="1:59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</row>
    <row r="919" spans="1:5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</row>
    <row r="920" spans="1:59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</row>
    <row r="921" spans="1:59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</row>
    <row r="922" spans="1:59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</row>
    <row r="923" spans="1:59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</row>
    <row r="924" spans="1:59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</row>
    <row r="925" spans="1:59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</row>
    <row r="926" spans="1:59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</row>
    <row r="927" spans="1:59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</row>
    <row r="928" spans="1:59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</row>
    <row r="929" spans="1:5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</row>
    <row r="930" spans="1:59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</row>
    <row r="931" spans="1:59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</row>
    <row r="932" spans="1:59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</row>
    <row r="933" spans="1:59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</row>
    <row r="934" spans="1:59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</row>
    <row r="935" spans="1:59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</row>
    <row r="936" spans="1:59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3"/>
      <c r="BF936" s="3"/>
      <c r="BG936" s="3"/>
    </row>
    <row r="937" spans="1:59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  <c r="BE937" s="3"/>
      <c r="BF937" s="3"/>
      <c r="BG937" s="3"/>
    </row>
    <row r="938" spans="1:59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3"/>
      <c r="BG938" s="3"/>
    </row>
    <row r="939" spans="1:5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3"/>
      <c r="BF939" s="3"/>
      <c r="BG939" s="3"/>
    </row>
    <row r="940" spans="1:59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  <c r="BF940" s="3"/>
      <c r="BG940" s="3"/>
    </row>
    <row r="941" spans="1:59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3"/>
      <c r="BF941" s="3"/>
      <c r="BG941" s="3"/>
    </row>
    <row r="942" spans="1:59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3"/>
      <c r="BF942" s="3"/>
      <c r="BG942" s="3"/>
    </row>
    <row r="943" spans="1:59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3"/>
      <c r="BF943" s="3"/>
      <c r="BG943" s="3"/>
    </row>
    <row r="944" spans="1:59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  <c r="BE944" s="3"/>
      <c r="BF944" s="3"/>
      <c r="BG944" s="3"/>
    </row>
    <row r="945" spans="1:59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  <c r="BE945" s="3"/>
      <c r="BF945" s="3"/>
      <c r="BG945" s="3"/>
    </row>
    <row r="946" spans="1:59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  <c r="BE946" s="3"/>
      <c r="BF946" s="3"/>
      <c r="BG946" s="3"/>
    </row>
    <row r="947" spans="1:59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  <c r="BE947" s="3"/>
      <c r="BF947" s="3"/>
      <c r="BG947" s="3"/>
    </row>
    <row r="948" spans="1:59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  <c r="BE948" s="3"/>
      <c r="BF948" s="3"/>
      <c r="BG948" s="3"/>
    </row>
    <row r="949" spans="1:5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  <c r="BE949" s="3"/>
      <c r="BF949" s="3"/>
      <c r="BG949" s="3"/>
    </row>
    <row r="950" spans="1:59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</row>
    <row r="951" spans="1:59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</row>
    <row r="952" spans="1:59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</row>
    <row r="953" spans="1:59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</row>
    <row r="954" spans="1:59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  <c r="BE954" s="3"/>
      <c r="BF954" s="3"/>
      <c r="BG954" s="3"/>
    </row>
    <row r="955" spans="1:59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  <c r="BE955" s="3"/>
      <c r="BF955" s="3"/>
      <c r="BG955" s="3"/>
    </row>
    <row r="956" spans="1:59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  <c r="BE956" s="3"/>
      <c r="BF956" s="3"/>
      <c r="BG956" s="3"/>
    </row>
    <row r="957" spans="1:59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  <c r="BD957" s="3"/>
      <c r="BE957" s="3"/>
      <c r="BF957" s="3"/>
      <c r="BG957" s="3"/>
    </row>
    <row r="958" spans="1:59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  <c r="BE958" s="3"/>
      <c r="BF958" s="3"/>
      <c r="BG958" s="3"/>
    </row>
    <row r="959" spans="1: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  <c r="BE959" s="3"/>
      <c r="BF959" s="3"/>
      <c r="BG959" s="3"/>
    </row>
    <row r="960" spans="1:59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  <c r="BE960" s="3"/>
      <c r="BF960" s="3"/>
      <c r="BG960" s="3"/>
    </row>
    <row r="961" spans="1:59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  <c r="BD961" s="3"/>
      <c r="BE961" s="3"/>
      <c r="BF961" s="3"/>
      <c r="BG961" s="3"/>
    </row>
    <row r="962" spans="1:59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  <c r="BE962" s="3"/>
      <c r="BF962" s="3"/>
      <c r="BG962" s="3"/>
    </row>
    <row r="963" spans="1:59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  <c r="BE963" s="3"/>
      <c r="BF963" s="3"/>
      <c r="BG963" s="3"/>
    </row>
    <row r="964" spans="1:59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3"/>
      <c r="BE964" s="3"/>
      <c r="BF964" s="3"/>
      <c r="BG964" s="3"/>
    </row>
    <row r="965" spans="1:59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/>
      <c r="BE965" s="3"/>
      <c r="BF965" s="3"/>
      <c r="BG965" s="3"/>
    </row>
    <row r="966" spans="1:59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/>
      <c r="BE966" s="3"/>
      <c r="BF966" s="3"/>
      <c r="BG966" s="3"/>
    </row>
    <row r="967" spans="1:59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  <c r="BE967" s="3"/>
      <c r="BF967" s="3"/>
      <c r="BG967" s="3"/>
    </row>
    <row r="968" spans="1:59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  <c r="BD968" s="3"/>
      <c r="BE968" s="3"/>
      <c r="BF968" s="3"/>
      <c r="BG968" s="3"/>
    </row>
    <row r="969" spans="1:5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  <c r="BD969" s="3"/>
      <c r="BE969" s="3"/>
      <c r="BF969" s="3"/>
      <c r="BG969" s="3"/>
    </row>
    <row r="970" spans="1:59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  <c r="BD970" s="3"/>
      <c r="BE970" s="3"/>
      <c r="BF970" s="3"/>
      <c r="BG970" s="3"/>
    </row>
    <row r="971" spans="1:59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  <c r="BD971" s="3"/>
      <c r="BE971" s="3"/>
      <c r="BF971" s="3"/>
      <c r="BG971" s="3"/>
    </row>
    <row r="972" spans="1:59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/>
      <c r="BE972" s="3"/>
      <c r="BF972" s="3"/>
      <c r="BG972" s="3"/>
    </row>
    <row r="973" spans="1:59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  <c r="BD973" s="3"/>
      <c r="BE973" s="3"/>
      <c r="BF973" s="3"/>
      <c r="BG973" s="3"/>
    </row>
    <row r="974" spans="1:59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</row>
    <row r="975" spans="1:59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</row>
    <row r="976" spans="1:59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</row>
    <row r="977" spans="1:59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</row>
    <row r="978" spans="1:59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  <c r="BD978" s="3"/>
      <c r="BE978" s="3"/>
      <c r="BF978" s="3"/>
      <c r="BG978" s="3"/>
    </row>
    <row r="979" spans="1:5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  <c r="BD979" s="3"/>
      <c r="BE979" s="3"/>
      <c r="BF979" s="3"/>
      <c r="BG979" s="3"/>
    </row>
    <row r="980" spans="1:59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  <c r="BD980" s="3"/>
      <c r="BE980" s="3"/>
      <c r="BF980" s="3"/>
      <c r="BG980" s="3"/>
    </row>
    <row r="981" spans="1:59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  <c r="BD981" s="3"/>
      <c r="BE981" s="3"/>
      <c r="BF981" s="3"/>
      <c r="BG981" s="3"/>
    </row>
    <row r="982" spans="1:59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  <c r="BD982" s="3"/>
      <c r="BE982" s="3"/>
      <c r="BF982" s="3"/>
      <c r="BG982" s="3"/>
    </row>
    <row r="983" spans="1:59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  <c r="BD983" s="3"/>
      <c r="BE983" s="3"/>
      <c r="BF983" s="3"/>
      <c r="BG983" s="3"/>
    </row>
    <row r="984" spans="1:59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  <c r="BD984" s="3"/>
      <c r="BE984" s="3"/>
      <c r="BF984" s="3"/>
      <c r="BG984" s="3"/>
    </row>
    <row r="985" spans="1:59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  <c r="BD985" s="3"/>
      <c r="BE985" s="3"/>
      <c r="BF985" s="3"/>
      <c r="BG985" s="3"/>
    </row>
    <row r="986" spans="1:59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  <c r="BD986" s="3"/>
      <c r="BE986" s="3"/>
      <c r="BF986" s="3"/>
      <c r="BG986" s="3"/>
    </row>
    <row r="987" spans="1:59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  <c r="BD987" s="3"/>
      <c r="BE987" s="3"/>
      <c r="BF987" s="3"/>
      <c r="BG987" s="3"/>
    </row>
    <row r="988" spans="1:59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  <c r="BD988" s="3"/>
      <c r="BE988" s="3"/>
      <c r="BF988" s="3"/>
      <c r="BG988" s="3"/>
    </row>
    <row r="989" spans="1:5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  <c r="BD989" s="3"/>
      <c r="BE989" s="3"/>
      <c r="BF989" s="3"/>
      <c r="BG989" s="3"/>
    </row>
    <row r="990" spans="1:59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  <c r="BD990" s="3"/>
      <c r="BE990" s="3"/>
      <c r="BF990" s="3"/>
      <c r="BG990" s="3"/>
    </row>
    <row r="991" spans="1:59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  <c r="BD991" s="3"/>
      <c r="BE991" s="3"/>
      <c r="BF991" s="3"/>
      <c r="BG991" s="3"/>
    </row>
    <row r="992" spans="1:59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  <c r="BA992" s="3"/>
      <c r="BB992" s="3"/>
      <c r="BC992" s="3"/>
      <c r="BD992" s="3"/>
      <c r="BE992" s="3"/>
      <c r="BF992" s="3"/>
      <c r="BG992" s="3"/>
    </row>
    <row r="993" spans="1:59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/>
      <c r="BA993" s="3"/>
      <c r="BB993" s="3"/>
      <c r="BC993" s="3"/>
      <c r="BD993" s="3"/>
      <c r="BE993" s="3"/>
      <c r="BF993" s="3"/>
      <c r="BG993" s="3"/>
    </row>
    <row r="994" spans="1:59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  <c r="BD994" s="3"/>
      <c r="BE994" s="3"/>
      <c r="BF994" s="3"/>
      <c r="BG994" s="3"/>
    </row>
    <row r="995" spans="1:59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  <c r="BD995" s="3"/>
      <c r="BE995" s="3"/>
      <c r="BF995" s="3"/>
      <c r="BG995" s="3"/>
    </row>
    <row r="996" spans="1:59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  <c r="BD996" s="3"/>
      <c r="BE996" s="3"/>
      <c r="BF996" s="3"/>
      <c r="BG996" s="3"/>
    </row>
    <row r="997" spans="1:59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  <c r="BD997" s="3"/>
      <c r="BE997" s="3"/>
      <c r="BF997" s="3"/>
      <c r="BG997" s="3"/>
    </row>
    <row r="998" spans="1:59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  <c r="BG998" s="3"/>
    </row>
    <row r="999" spans="1:5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/>
      <c r="BG999" s="3"/>
    </row>
  </sheetData>
  <mergeCells count="171">
    <mergeCell ref="AO60:AP60"/>
    <mergeCell ref="AE59:AF59"/>
    <mergeCell ref="AG59:AH59"/>
    <mergeCell ref="AI59:AJ59"/>
    <mergeCell ref="AK59:AL59"/>
    <mergeCell ref="AM59:AN59"/>
    <mergeCell ref="E60:G60"/>
    <mergeCell ref="H60:J60"/>
    <mergeCell ref="K60:M60"/>
    <mergeCell ref="N60:P60"/>
    <mergeCell ref="Q60:S60"/>
    <mergeCell ref="T60:V60"/>
    <mergeCell ref="W60:Y60"/>
    <mergeCell ref="Z60:AB60"/>
    <mergeCell ref="AC60:AD60"/>
    <mergeCell ref="AE60:AF60"/>
    <mergeCell ref="AG60:AH60"/>
    <mergeCell ref="AI60:AJ60"/>
    <mergeCell ref="AK60:AL60"/>
    <mergeCell ref="AM60:AN60"/>
    <mergeCell ref="E59:G59"/>
    <mergeCell ref="H59:J59"/>
    <mergeCell ref="K59:M59"/>
    <mergeCell ref="N59:P59"/>
    <mergeCell ref="Q59:S59"/>
    <mergeCell ref="T59:V59"/>
    <mergeCell ref="W59:Y59"/>
    <mergeCell ref="Z59:AB59"/>
    <mergeCell ref="AC59:AD59"/>
    <mergeCell ref="E58:G58"/>
    <mergeCell ref="H58:J58"/>
    <mergeCell ref="K58:M58"/>
    <mergeCell ref="N58:P58"/>
    <mergeCell ref="Q58:S58"/>
    <mergeCell ref="T58:V58"/>
    <mergeCell ref="W58:Y58"/>
    <mergeCell ref="Z58:AB58"/>
    <mergeCell ref="AC58:AD58"/>
    <mergeCell ref="E57:G57"/>
    <mergeCell ref="H57:J57"/>
    <mergeCell ref="K57:M57"/>
    <mergeCell ref="N57:P57"/>
    <mergeCell ref="Q57:S57"/>
    <mergeCell ref="T57:V57"/>
    <mergeCell ref="W57:Y57"/>
    <mergeCell ref="Z57:AB57"/>
    <mergeCell ref="AC57:AD57"/>
    <mergeCell ref="E56:G56"/>
    <mergeCell ref="H56:J56"/>
    <mergeCell ref="K56:M56"/>
    <mergeCell ref="N56:P56"/>
    <mergeCell ref="Q56:S56"/>
    <mergeCell ref="T56:V56"/>
    <mergeCell ref="W56:Y56"/>
    <mergeCell ref="Z56:AB56"/>
    <mergeCell ref="AC56:AD56"/>
    <mergeCell ref="AC54:AH54"/>
    <mergeCell ref="AI54:AL54"/>
    <mergeCell ref="AM54:AN55"/>
    <mergeCell ref="AO54:AP59"/>
    <mergeCell ref="AC55:AD55"/>
    <mergeCell ref="AE55:AF55"/>
    <mergeCell ref="AG55:AH55"/>
    <mergeCell ref="AI55:AJ55"/>
    <mergeCell ref="AK55:AL55"/>
    <mergeCell ref="AE56:AF56"/>
    <mergeCell ref="AG56:AH56"/>
    <mergeCell ref="AI56:AJ56"/>
    <mergeCell ref="AK56:AL56"/>
    <mergeCell ref="AM56:AN56"/>
    <mergeCell ref="AE57:AF57"/>
    <mergeCell ref="AG57:AH57"/>
    <mergeCell ref="AI57:AJ57"/>
    <mergeCell ref="AK57:AL57"/>
    <mergeCell ref="AM57:AN57"/>
    <mergeCell ref="AE58:AF58"/>
    <mergeCell ref="AG58:AH58"/>
    <mergeCell ref="AI58:AJ58"/>
    <mergeCell ref="AK58:AL58"/>
    <mergeCell ref="AM58:AN58"/>
    <mergeCell ref="D54:D55"/>
    <mergeCell ref="E54:G55"/>
    <mergeCell ref="H54:J55"/>
    <mergeCell ref="K54:M55"/>
    <mergeCell ref="N54:P55"/>
    <mergeCell ref="Q54:S55"/>
    <mergeCell ref="T54:V55"/>
    <mergeCell ref="W54:Y55"/>
    <mergeCell ref="Z54:AB55"/>
    <mergeCell ref="A51:C52"/>
    <mergeCell ref="D51:D52"/>
    <mergeCell ref="E51:K51"/>
    <mergeCell ref="L51:R51"/>
    <mergeCell ref="S51:Y51"/>
    <mergeCell ref="Z51:AF51"/>
    <mergeCell ref="AG51:AM51"/>
    <mergeCell ref="E52:K52"/>
    <mergeCell ref="L52:R52"/>
    <mergeCell ref="S52:Y52"/>
    <mergeCell ref="Z52:AF52"/>
    <mergeCell ref="AG52:AM52"/>
    <mergeCell ref="A36:A40"/>
    <mergeCell ref="E37:K37"/>
    <mergeCell ref="AG37:AM37"/>
    <mergeCell ref="A41:A44"/>
    <mergeCell ref="A45:A49"/>
    <mergeCell ref="AG48:AM48"/>
    <mergeCell ref="A50:C50"/>
    <mergeCell ref="E50:K50"/>
    <mergeCell ref="L50:R50"/>
    <mergeCell ref="S50:Y50"/>
    <mergeCell ref="Z50:AF50"/>
    <mergeCell ref="AG50:AM50"/>
    <mergeCell ref="AN28:AN29"/>
    <mergeCell ref="AO28:AO29"/>
    <mergeCell ref="AX28:AZ28"/>
    <mergeCell ref="BA28:BB28"/>
    <mergeCell ref="A30:A31"/>
    <mergeCell ref="P30:R30"/>
    <mergeCell ref="A32:A35"/>
    <mergeCell ref="S35:Y35"/>
    <mergeCell ref="Z35:AF35"/>
    <mergeCell ref="AG35:AM35"/>
    <mergeCell ref="A28:A29"/>
    <mergeCell ref="B28:B29"/>
    <mergeCell ref="C28:C29"/>
    <mergeCell ref="D28:D29"/>
    <mergeCell ref="E28:K28"/>
    <mergeCell ref="L28:R28"/>
    <mergeCell ref="S28:Y28"/>
    <mergeCell ref="Z28:AF28"/>
    <mergeCell ref="AG28:AM28"/>
    <mergeCell ref="A18:A21"/>
    <mergeCell ref="S18:Y18"/>
    <mergeCell ref="A22:A25"/>
    <mergeCell ref="AG24:AM24"/>
    <mergeCell ref="AK25:AM25"/>
    <mergeCell ref="A26:C26"/>
    <mergeCell ref="E26:K26"/>
    <mergeCell ref="L26:R26"/>
    <mergeCell ref="S26:Y26"/>
    <mergeCell ref="Z26:AF26"/>
    <mergeCell ref="AG26:AM26"/>
    <mergeCell ref="A5:A8"/>
    <mergeCell ref="E5:K5"/>
    <mergeCell ref="O5:R5"/>
    <mergeCell ref="A9:A12"/>
    <mergeCell ref="A13:A17"/>
    <mergeCell ref="AG13:AM13"/>
    <mergeCell ref="E14:K14"/>
    <mergeCell ref="L14:R14"/>
    <mergeCell ref="E17:K17"/>
    <mergeCell ref="A1:AN1"/>
    <mergeCell ref="B2:L2"/>
    <mergeCell ref="AI2:AN2"/>
    <mergeCell ref="AS2:AT2"/>
    <mergeCell ref="AX2:AZ2"/>
    <mergeCell ref="BA2:BB2"/>
    <mergeCell ref="A3:A4"/>
    <mergeCell ref="B3:B4"/>
    <mergeCell ref="C3:C4"/>
    <mergeCell ref="D3:D4"/>
    <mergeCell ref="E3:K3"/>
    <mergeCell ref="L3:R3"/>
    <mergeCell ref="S3:Y3"/>
    <mergeCell ref="Z3:AF3"/>
    <mergeCell ref="AG3:AM3"/>
    <mergeCell ref="AN3:AN4"/>
    <mergeCell ref="AO3:AO4"/>
    <mergeCell ref="AX3:AZ3"/>
    <mergeCell ref="BA3:BB3"/>
  </mergeCells>
  <dataValidations count="2">
    <dataValidation type="list" allowBlank="1" showErrorMessage="1" sqref="AG49:AJ49 L53:X53" xr:uid="{00000000-0002-0000-0000-000000000000}">
      <formula1>$AP$4:$AZ$4</formula1>
    </dataValidation>
    <dataValidation type="list" operator="equal" allowBlank="1" showErrorMessage="1" sqref="E6:I13 L30:O30 L35:R35 E31:I36 Z49:AC49 E38:I49 AG38:AM47 AG36:AM36 L19:W25 L16:R18 Z5:AD25 L15:W15 L7:W13 L5:N6 O6:W6 S5:W5 AG5:AM12 S14:W14 AG14:AM23 E15:I16 AG25:AJ25 L31:R31 L32:W34 Z36:AD48 AG30:AM34 Z30:AD34 E18:I25 S30:W31 L36:W49 S16:W17" xr:uid="{00000000-0002-0000-0000-000001000000}">
      <formula1>$AP$4:$BB$4</formula1>
    </dataValidation>
  </dataValidations>
  <pageMargins left="0.31902778148651123" right="0.24763889610767365" top="0.27958333492279053" bottom="0.31736111640930176" header="0" footer="0"/>
  <pageSetup paperSize="9" scale="36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BP999"/>
  <sheetViews>
    <sheetView tabSelected="1" zoomScale="70" zoomScaleNormal="70" zoomScaleSheetLayoutView="70" workbookViewId="0">
      <pane xSplit="4" ySplit="4" topLeftCell="E5" activePane="bottomRight" state="frozen"/>
      <selection pane="bottomRight" activeCell="L26" sqref="L26:R26"/>
      <selection pane="bottomLeft"/>
      <selection pane="topRight"/>
    </sheetView>
  </sheetViews>
  <sheetFormatPr defaultColWidth="12.625" defaultRowHeight="15" customHeight="1"/>
  <cols>
    <col min="1" max="2" width="3.25" customWidth="1"/>
    <col min="3" max="3" width="16.125" bestFit="1" customWidth="1"/>
    <col min="4" max="4" width="6" customWidth="1"/>
    <col min="5" max="39" width="4.5" customWidth="1"/>
    <col min="40" max="40" width="6.125" bestFit="1" customWidth="1"/>
    <col min="41" max="41" width="5.125" customWidth="1"/>
    <col min="42" max="44" width="4.25" customWidth="1"/>
    <col min="45" max="45" width="3.5" customWidth="1"/>
    <col min="46" max="46" width="4.25" customWidth="1"/>
    <col min="47" max="47" width="4.375" bestFit="1" customWidth="1"/>
    <col min="48" max="48" width="3.875" customWidth="1"/>
    <col min="49" max="49" width="3.5" customWidth="1"/>
    <col min="50" max="50" width="4.625" customWidth="1"/>
    <col min="51" max="51" width="3.875" customWidth="1"/>
    <col min="52" max="52" width="4.375" customWidth="1"/>
    <col min="53" max="54" width="4" customWidth="1"/>
    <col min="55" max="59" width="7.625" customWidth="1"/>
  </cols>
  <sheetData>
    <row r="1" spans="1:60" ht="28.5" customHeight="1">
      <c r="A1" s="115" t="s">
        <v>0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15"/>
      <c r="AM1" s="115"/>
      <c r="AN1" s="115"/>
      <c r="AO1" s="1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3"/>
      <c r="BB1" s="3"/>
      <c r="BC1" s="3"/>
      <c r="BD1" s="3"/>
      <c r="BE1" s="3"/>
      <c r="BF1" s="3"/>
      <c r="BG1" s="3"/>
    </row>
    <row r="2" spans="1:60" ht="20.25" customHeight="1">
      <c r="A2" s="4"/>
      <c r="B2" s="116" t="s">
        <v>1</v>
      </c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6"/>
      <c r="AA2" s="7"/>
      <c r="AB2" s="7"/>
      <c r="AC2" s="7"/>
      <c r="AD2" s="7"/>
      <c r="AE2" s="7"/>
      <c r="AF2" s="7"/>
      <c r="AG2" s="7"/>
      <c r="AH2" s="7"/>
      <c r="AI2" s="117" t="s">
        <v>108</v>
      </c>
      <c r="AJ2" s="117"/>
      <c r="AK2" s="117"/>
      <c r="AL2" s="117"/>
      <c r="AM2" s="117"/>
      <c r="AN2" s="117"/>
      <c r="AO2" s="5"/>
      <c r="AP2" s="8"/>
      <c r="AQ2" s="8"/>
      <c r="AR2" s="8"/>
      <c r="AS2" s="118"/>
      <c r="AT2" s="118"/>
      <c r="AU2" s="9"/>
      <c r="AV2" s="9"/>
      <c r="AW2" s="9"/>
      <c r="AX2" s="119"/>
      <c r="AY2" s="175"/>
      <c r="AZ2" s="175"/>
      <c r="BA2" s="120"/>
      <c r="BB2" s="175"/>
      <c r="BC2" s="6"/>
      <c r="BD2" s="6"/>
      <c r="BE2" s="6"/>
      <c r="BF2" s="6"/>
      <c r="BG2" s="6"/>
    </row>
    <row r="3" spans="1:60" ht="24" customHeight="1">
      <c r="A3" s="121" t="s">
        <v>3</v>
      </c>
      <c r="B3" s="122" t="s">
        <v>4</v>
      </c>
      <c r="C3" s="122" t="s">
        <v>5</v>
      </c>
      <c r="D3" s="123" t="s">
        <v>6</v>
      </c>
      <c r="E3" s="124" t="s">
        <v>7</v>
      </c>
      <c r="F3" s="176"/>
      <c r="G3" s="176"/>
      <c r="H3" s="176"/>
      <c r="I3" s="176"/>
      <c r="J3" s="176"/>
      <c r="K3" s="177"/>
      <c r="L3" s="124" t="s">
        <v>8</v>
      </c>
      <c r="M3" s="176"/>
      <c r="N3" s="176"/>
      <c r="O3" s="176"/>
      <c r="P3" s="176"/>
      <c r="Q3" s="176"/>
      <c r="R3" s="177"/>
      <c r="S3" s="124" t="s">
        <v>9</v>
      </c>
      <c r="T3" s="176"/>
      <c r="U3" s="176"/>
      <c r="V3" s="176"/>
      <c r="W3" s="176"/>
      <c r="X3" s="176"/>
      <c r="Y3" s="177"/>
      <c r="Z3" s="124" t="s">
        <v>10</v>
      </c>
      <c r="AA3" s="176"/>
      <c r="AB3" s="176"/>
      <c r="AC3" s="176"/>
      <c r="AD3" s="176"/>
      <c r="AE3" s="176"/>
      <c r="AF3" s="177"/>
      <c r="AG3" s="124" t="s">
        <v>11</v>
      </c>
      <c r="AH3" s="176"/>
      <c r="AI3" s="176"/>
      <c r="AJ3" s="176"/>
      <c r="AK3" s="176"/>
      <c r="AL3" s="176"/>
      <c r="AM3" s="177"/>
      <c r="AN3" s="125" t="s">
        <v>12</v>
      </c>
      <c r="AO3" s="126"/>
      <c r="AP3" s="10"/>
      <c r="AQ3" s="10"/>
      <c r="AR3" s="10"/>
      <c r="AS3" s="10"/>
      <c r="AT3" s="10"/>
      <c r="AU3" s="10"/>
      <c r="AV3" s="10"/>
      <c r="AW3" s="12"/>
      <c r="AX3" s="127" t="s">
        <v>13</v>
      </c>
      <c r="AY3" s="178"/>
      <c r="AZ3" s="178"/>
      <c r="BA3" s="128" t="s">
        <v>14</v>
      </c>
      <c r="BB3" s="178"/>
      <c r="BC3" s="12"/>
      <c r="BD3" s="12"/>
      <c r="BE3" s="12"/>
      <c r="BF3" s="12"/>
      <c r="BG3" s="12"/>
    </row>
    <row r="4" spans="1:60" ht="24" customHeight="1">
      <c r="A4" s="179"/>
      <c r="B4" s="180"/>
      <c r="C4" s="180"/>
      <c r="D4" s="181"/>
      <c r="E4" s="46">
        <v>1</v>
      </c>
      <c r="F4" s="47">
        <v>2</v>
      </c>
      <c r="G4" s="47">
        <v>3</v>
      </c>
      <c r="H4" s="47">
        <v>4</v>
      </c>
      <c r="I4" s="47">
        <v>5</v>
      </c>
      <c r="J4" s="47">
        <v>6</v>
      </c>
      <c r="K4" s="48">
        <v>7</v>
      </c>
      <c r="L4" s="46">
        <v>1</v>
      </c>
      <c r="M4" s="47">
        <v>2</v>
      </c>
      <c r="N4" s="47">
        <v>3</v>
      </c>
      <c r="O4" s="47">
        <v>4</v>
      </c>
      <c r="P4" s="47">
        <v>5</v>
      </c>
      <c r="Q4" s="47">
        <v>6</v>
      </c>
      <c r="R4" s="48">
        <v>7</v>
      </c>
      <c r="S4" s="46">
        <v>1</v>
      </c>
      <c r="T4" s="47">
        <v>2</v>
      </c>
      <c r="U4" s="47">
        <v>3</v>
      </c>
      <c r="V4" s="47">
        <v>4</v>
      </c>
      <c r="W4" s="47">
        <v>5</v>
      </c>
      <c r="X4" s="47">
        <v>6</v>
      </c>
      <c r="Y4" s="48">
        <v>7</v>
      </c>
      <c r="Z4" s="46">
        <v>1</v>
      </c>
      <c r="AA4" s="47">
        <v>2</v>
      </c>
      <c r="AB4" s="47">
        <v>3</v>
      </c>
      <c r="AC4" s="47">
        <v>4</v>
      </c>
      <c r="AD4" s="47">
        <v>5</v>
      </c>
      <c r="AE4" s="47">
        <v>6</v>
      </c>
      <c r="AF4" s="48">
        <v>7</v>
      </c>
      <c r="AG4" s="46">
        <v>1</v>
      </c>
      <c r="AH4" s="47">
        <v>2</v>
      </c>
      <c r="AI4" s="47">
        <v>3</v>
      </c>
      <c r="AJ4" s="47">
        <v>4</v>
      </c>
      <c r="AK4" s="47">
        <v>5</v>
      </c>
      <c r="AL4" s="47">
        <v>6</v>
      </c>
      <c r="AM4" s="48">
        <v>7</v>
      </c>
      <c r="AN4" s="182"/>
      <c r="AO4" s="126"/>
      <c r="AP4" s="14" t="s">
        <v>15</v>
      </c>
      <c r="AQ4" s="14" t="s">
        <v>16</v>
      </c>
      <c r="AR4" s="14" t="s">
        <v>17</v>
      </c>
      <c r="AS4" s="14" t="s">
        <v>18</v>
      </c>
      <c r="AT4" s="14" t="s">
        <v>19</v>
      </c>
      <c r="AU4" s="14" t="s">
        <v>20</v>
      </c>
      <c r="AV4" s="34" t="s">
        <v>21</v>
      </c>
      <c r="AW4" s="36" t="s">
        <v>22</v>
      </c>
      <c r="AX4" s="37" t="s">
        <v>23</v>
      </c>
      <c r="AY4" s="35" t="s">
        <v>24</v>
      </c>
      <c r="AZ4" s="35" t="s">
        <v>25</v>
      </c>
      <c r="BA4" s="35" t="s">
        <v>26</v>
      </c>
      <c r="BB4" s="35" t="s">
        <v>27</v>
      </c>
      <c r="BC4" s="15" t="s">
        <v>28</v>
      </c>
      <c r="BD4" s="12"/>
      <c r="BE4" s="12"/>
      <c r="BF4" s="12"/>
      <c r="BG4" s="12"/>
      <c r="BH4" s="12"/>
    </row>
    <row r="5" spans="1:60" ht="28.5" customHeight="1">
      <c r="A5" s="129">
        <v>3</v>
      </c>
      <c r="B5" s="49">
        <v>1</v>
      </c>
      <c r="C5" s="49" t="s">
        <v>29</v>
      </c>
      <c r="D5" s="50">
        <v>4</v>
      </c>
      <c r="E5" s="130" t="s">
        <v>30</v>
      </c>
      <c r="F5" s="183"/>
      <c r="G5" s="183"/>
      <c r="H5" s="183"/>
      <c r="I5" s="183"/>
      <c r="J5" s="183"/>
      <c r="K5" s="184"/>
      <c r="L5" s="51" t="s">
        <v>23</v>
      </c>
      <c r="M5" s="28" t="s">
        <v>17</v>
      </c>
      <c r="N5" s="28" t="s">
        <v>26</v>
      </c>
      <c r="O5" s="131" t="s">
        <v>31</v>
      </c>
      <c r="P5" s="132"/>
      <c r="Q5" s="132"/>
      <c r="R5" s="133"/>
      <c r="S5" s="41" t="s">
        <v>15</v>
      </c>
      <c r="T5" s="16" t="s">
        <v>22</v>
      </c>
      <c r="U5" s="16" t="s">
        <v>22</v>
      </c>
      <c r="V5" s="16" t="s">
        <v>21</v>
      </c>
      <c r="W5" s="16" t="s">
        <v>18</v>
      </c>
      <c r="X5" s="29"/>
      <c r="Y5" s="52"/>
      <c r="Z5" s="41" t="s">
        <v>16</v>
      </c>
      <c r="AA5" s="16" t="s">
        <v>23</v>
      </c>
      <c r="AB5" s="16" t="s">
        <v>15</v>
      </c>
      <c r="AC5" s="16" t="s">
        <v>17</v>
      </c>
      <c r="AD5" s="16" t="s">
        <v>18</v>
      </c>
      <c r="AE5" s="29"/>
      <c r="AF5" s="52"/>
      <c r="AG5" s="51" t="s">
        <v>15</v>
      </c>
      <c r="AH5" s="28" t="s">
        <v>24</v>
      </c>
      <c r="AI5" s="28" t="s">
        <v>16</v>
      </c>
      <c r="AJ5" s="28" t="s">
        <v>20</v>
      </c>
      <c r="AK5" s="28" t="s">
        <v>27</v>
      </c>
      <c r="AL5" s="28" t="s">
        <v>27</v>
      </c>
      <c r="AM5" s="53" t="s">
        <v>23</v>
      </c>
      <c r="AN5" s="54"/>
      <c r="AO5" s="18"/>
      <c r="AP5" s="19">
        <f t="shared" ref="AP5:AP25" si="0">COUNTIF(E5:AM5,"=국")</f>
        <v>3</v>
      </c>
      <c r="AQ5" s="19">
        <f t="shared" ref="AQ5:AQ25" si="1">COUNTIF(E5:AM5,"=수")</f>
        <v>2</v>
      </c>
      <c r="AR5" s="19">
        <f t="shared" ref="AR5:AR25" si="2">COUNTIF(E5:AM5,"=사")</f>
        <v>2</v>
      </c>
      <c r="AS5" s="19">
        <f t="shared" ref="AS5:AS25" si="3">COUNTIF(E5:AM5,"=과")</f>
        <v>2</v>
      </c>
      <c r="AT5" s="19">
        <f>COUNTIF(E5:AM5,"=실")</f>
        <v>0</v>
      </c>
      <c r="AU5" s="19">
        <f>COUNTIF(E5:AN5,"=체")</f>
        <v>1</v>
      </c>
      <c r="AV5" s="19">
        <f>COUNTIF(E5:AM5,"=음")</f>
        <v>1</v>
      </c>
      <c r="AW5" s="38">
        <f t="shared" ref="AW5:AW25" si="4">COUNTIF(E5:AM5,"=미")</f>
        <v>2</v>
      </c>
      <c r="AX5" s="19">
        <f t="shared" ref="AX5:AX25" si="5">COUNTIF(E5:AM5,"=자")</f>
        <v>3</v>
      </c>
      <c r="AY5" s="19">
        <f t="shared" ref="AY5:AY25" si="6">COUNTIF(E5:AM5,"=동")</f>
        <v>1</v>
      </c>
      <c r="AZ5" s="19">
        <f t="shared" ref="AZ5:AZ25" si="7">COUNTIF(E5:AM5,"=진")</f>
        <v>0</v>
      </c>
      <c r="BA5" s="19">
        <f t="shared" ref="BA5:BA25" si="8">COUNTIF(E5:AM5,"=의")</f>
        <v>1</v>
      </c>
      <c r="BB5" s="19">
        <f t="shared" ref="BB5:BB25" si="9">COUNTIF(E5:AM5,"=선")</f>
        <v>2</v>
      </c>
      <c r="BC5" s="15">
        <f t="shared" ref="BC5:BC26" si="10">SUM(AP5:BB5)</f>
        <v>20</v>
      </c>
      <c r="BD5" s="12"/>
      <c r="BE5" s="12"/>
      <c r="BF5" s="12"/>
      <c r="BG5" s="12"/>
      <c r="BH5" s="12"/>
    </row>
    <row r="6" spans="1:60" ht="28.5" customHeight="1">
      <c r="A6" s="185"/>
      <c r="B6" s="13">
        <v>2</v>
      </c>
      <c r="C6" s="13" t="s">
        <v>32</v>
      </c>
      <c r="D6" s="40">
        <v>5</v>
      </c>
      <c r="E6" s="41" t="s">
        <v>26</v>
      </c>
      <c r="F6" s="16" t="s">
        <v>23</v>
      </c>
      <c r="G6" s="16" t="s">
        <v>15</v>
      </c>
      <c r="H6" s="16" t="s">
        <v>16</v>
      </c>
      <c r="I6" s="16" t="s">
        <v>17</v>
      </c>
      <c r="J6" s="17"/>
      <c r="K6" s="42"/>
      <c r="L6" s="51" t="s">
        <v>23</v>
      </c>
      <c r="M6" s="28" t="s">
        <v>17</v>
      </c>
      <c r="N6" s="28" t="s">
        <v>26</v>
      </c>
      <c r="O6" s="16" t="s">
        <v>20</v>
      </c>
      <c r="P6" s="16" t="s">
        <v>15</v>
      </c>
      <c r="Q6" s="16" t="s">
        <v>19</v>
      </c>
      <c r="R6" s="43" t="s">
        <v>19</v>
      </c>
      <c r="S6" s="41" t="s">
        <v>15</v>
      </c>
      <c r="T6" s="16" t="s">
        <v>22</v>
      </c>
      <c r="U6" s="16" t="s">
        <v>22</v>
      </c>
      <c r="V6" s="16" t="s">
        <v>21</v>
      </c>
      <c r="W6" s="16" t="s">
        <v>18</v>
      </c>
      <c r="X6" s="17"/>
      <c r="Y6" s="42"/>
      <c r="Z6" s="41" t="s">
        <v>16</v>
      </c>
      <c r="AA6" s="16" t="s">
        <v>23</v>
      </c>
      <c r="AB6" s="16" t="s">
        <v>15</v>
      </c>
      <c r="AC6" s="16" t="s">
        <v>17</v>
      </c>
      <c r="AD6" s="16" t="s">
        <v>18</v>
      </c>
      <c r="AE6" s="17"/>
      <c r="AF6" s="42"/>
      <c r="AG6" s="51" t="s">
        <v>15</v>
      </c>
      <c r="AH6" s="28" t="s">
        <v>24</v>
      </c>
      <c r="AI6" s="28" t="s">
        <v>16</v>
      </c>
      <c r="AJ6" s="28" t="s">
        <v>20</v>
      </c>
      <c r="AK6" s="28" t="s">
        <v>27</v>
      </c>
      <c r="AL6" s="28" t="s">
        <v>27</v>
      </c>
      <c r="AM6" s="53" t="s">
        <v>23</v>
      </c>
      <c r="AN6" s="44"/>
      <c r="AO6" s="18"/>
      <c r="AP6" s="19">
        <f t="shared" si="0"/>
        <v>5</v>
      </c>
      <c r="AQ6" s="19">
        <f t="shared" si="1"/>
        <v>3</v>
      </c>
      <c r="AR6" s="19">
        <f t="shared" si="2"/>
        <v>3</v>
      </c>
      <c r="AS6" s="19">
        <f t="shared" si="3"/>
        <v>2</v>
      </c>
      <c r="AT6" s="19">
        <f>COUNTIF(E6:AM6,"=실")</f>
        <v>2</v>
      </c>
      <c r="AU6" s="19">
        <f t="shared" ref="AU6:AU25" si="11">COUNTIF(E6:AN6,"=체")</f>
        <v>2</v>
      </c>
      <c r="AV6" s="19">
        <f t="shared" ref="AV6:AV25" si="12">COUNTIF(E6:AM6,"=음")</f>
        <v>1</v>
      </c>
      <c r="AW6" s="19">
        <f t="shared" si="4"/>
        <v>2</v>
      </c>
      <c r="AX6" s="19">
        <f t="shared" si="5"/>
        <v>4</v>
      </c>
      <c r="AY6" s="19">
        <f t="shared" si="6"/>
        <v>1</v>
      </c>
      <c r="AZ6" s="19">
        <f t="shared" si="7"/>
        <v>0</v>
      </c>
      <c r="BA6" s="19">
        <f t="shared" si="8"/>
        <v>2</v>
      </c>
      <c r="BB6" s="19">
        <f t="shared" si="9"/>
        <v>2</v>
      </c>
      <c r="BC6" s="15">
        <f t="shared" si="10"/>
        <v>29</v>
      </c>
      <c r="BD6" s="12"/>
      <c r="BE6" s="12"/>
      <c r="BF6" s="12"/>
      <c r="BG6" s="12"/>
      <c r="BH6" s="12"/>
    </row>
    <row r="7" spans="1:60" ht="28.5" customHeight="1">
      <c r="A7" s="185"/>
      <c r="B7" s="13">
        <v>3</v>
      </c>
      <c r="C7" s="13" t="s">
        <v>33</v>
      </c>
      <c r="D7" s="40">
        <v>5</v>
      </c>
      <c r="E7" s="41" t="s">
        <v>26</v>
      </c>
      <c r="F7" s="16" t="s">
        <v>23</v>
      </c>
      <c r="G7" s="16" t="s">
        <v>15</v>
      </c>
      <c r="H7" s="16" t="s">
        <v>16</v>
      </c>
      <c r="I7" s="16" t="s">
        <v>17</v>
      </c>
      <c r="J7" s="17"/>
      <c r="K7" s="42"/>
      <c r="L7" s="51" t="s">
        <v>23</v>
      </c>
      <c r="M7" s="28" t="s">
        <v>17</v>
      </c>
      <c r="N7" s="28" t="s">
        <v>26</v>
      </c>
      <c r="O7" s="16" t="s">
        <v>20</v>
      </c>
      <c r="P7" s="16" t="s">
        <v>15</v>
      </c>
      <c r="Q7" s="16" t="s">
        <v>19</v>
      </c>
      <c r="R7" s="43" t="s">
        <v>19</v>
      </c>
      <c r="S7" s="41" t="s">
        <v>15</v>
      </c>
      <c r="T7" s="16" t="s">
        <v>22</v>
      </c>
      <c r="U7" s="16" t="s">
        <v>22</v>
      </c>
      <c r="V7" s="16" t="s">
        <v>21</v>
      </c>
      <c r="W7" s="16" t="s">
        <v>18</v>
      </c>
      <c r="X7" s="17"/>
      <c r="Y7" s="42"/>
      <c r="Z7" s="41" t="s">
        <v>16</v>
      </c>
      <c r="AA7" s="16" t="s">
        <v>23</v>
      </c>
      <c r="AB7" s="16" t="s">
        <v>15</v>
      </c>
      <c r="AC7" s="16" t="s">
        <v>17</v>
      </c>
      <c r="AD7" s="16" t="s">
        <v>18</v>
      </c>
      <c r="AE7" s="17"/>
      <c r="AF7" s="42"/>
      <c r="AG7" s="51" t="s">
        <v>15</v>
      </c>
      <c r="AH7" s="28" t="s">
        <v>24</v>
      </c>
      <c r="AI7" s="28" t="s">
        <v>16</v>
      </c>
      <c r="AJ7" s="28" t="s">
        <v>20</v>
      </c>
      <c r="AK7" s="28" t="s">
        <v>27</v>
      </c>
      <c r="AL7" s="28" t="s">
        <v>27</v>
      </c>
      <c r="AM7" s="53" t="s">
        <v>23</v>
      </c>
      <c r="AN7" s="44"/>
      <c r="AO7" s="18"/>
      <c r="AP7" s="19">
        <f t="shared" si="0"/>
        <v>5</v>
      </c>
      <c r="AQ7" s="19">
        <f t="shared" si="1"/>
        <v>3</v>
      </c>
      <c r="AR7" s="19">
        <f t="shared" si="2"/>
        <v>3</v>
      </c>
      <c r="AS7" s="19">
        <f t="shared" si="3"/>
        <v>2</v>
      </c>
      <c r="AT7" s="19">
        <f t="shared" ref="AT7:AT25" si="13">COUNTIF(E7:AM7,"=실")</f>
        <v>2</v>
      </c>
      <c r="AU7" s="19">
        <f t="shared" si="11"/>
        <v>2</v>
      </c>
      <c r="AV7" s="19">
        <f t="shared" si="12"/>
        <v>1</v>
      </c>
      <c r="AW7" s="19">
        <f t="shared" si="4"/>
        <v>2</v>
      </c>
      <c r="AX7" s="19">
        <f t="shared" si="5"/>
        <v>4</v>
      </c>
      <c r="AY7" s="19">
        <f t="shared" si="6"/>
        <v>1</v>
      </c>
      <c r="AZ7" s="19">
        <f t="shared" si="7"/>
        <v>0</v>
      </c>
      <c r="BA7" s="19">
        <f t="shared" si="8"/>
        <v>2</v>
      </c>
      <c r="BB7" s="19">
        <f t="shared" si="9"/>
        <v>2</v>
      </c>
      <c r="BC7" s="15">
        <f t="shared" si="10"/>
        <v>29</v>
      </c>
      <c r="BD7" s="12"/>
      <c r="BE7" s="12"/>
      <c r="BF7" s="12"/>
      <c r="BG7" s="12"/>
      <c r="BH7" s="12"/>
    </row>
    <row r="8" spans="1:60" ht="28.5" customHeight="1">
      <c r="A8" s="186"/>
      <c r="B8" s="13">
        <v>4</v>
      </c>
      <c r="C8" s="13" t="s">
        <v>34</v>
      </c>
      <c r="D8" s="40">
        <v>5</v>
      </c>
      <c r="E8" s="41" t="s">
        <v>26</v>
      </c>
      <c r="F8" s="16" t="s">
        <v>23</v>
      </c>
      <c r="G8" s="16" t="s">
        <v>15</v>
      </c>
      <c r="H8" s="16" t="s">
        <v>16</v>
      </c>
      <c r="I8" s="16" t="s">
        <v>17</v>
      </c>
      <c r="J8" s="17"/>
      <c r="K8" s="42"/>
      <c r="L8" s="93" t="s">
        <v>25</v>
      </c>
      <c r="M8" s="28" t="s">
        <v>17</v>
      </c>
      <c r="N8" s="28" t="s">
        <v>26</v>
      </c>
      <c r="O8" s="16" t="s">
        <v>20</v>
      </c>
      <c r="P8" s="16" t="s">
        <v>15</v>
      </c>
      <c r="Q8" s="16" t="s">
        <v>19</v>
      </c>
      <c r="R8" s="43" t="s">
        <v>19</v>
      </c>
      <c r="S8" s="41" t="s">
        <v>15</v>
      </c>
      <c r="T8" s="16" t="s">
        <v>22</v>
      </c>
      <c r="U8" s="16" t="s">
        <v>22</v>
      </c>
      <c r="V8" s="16" t="s">
        <v>21</v>
      </c>
      <c r="W8" s="16" t="s">
        <v>18</v>
      </c>
      <c r="X8" s="17"/>
      <c r="Y8" s="42"/>
      <c r="Z8" s="41" t="s">
        <v>16</v>
      </c>
      <c r="AA8" s="16" t="s">
        <v>23</v>
      </c>
      <c r="AB8" s="16" t="s">
        <v>15</v>
      </c>
      <c r="AC8" s="16" t="s">
        <v>17</v>
      </c>
      <c r="AD8" s="16" t="s">
        <v>18</v>
      </c>
      <c r="AE8" s="17"/>
      <c r="AF8" s="42"/>
      <c r="AG8" s="51" t="s">
        <v>15</v>
      </c>
      <c r="AH8" s="28" t="s">
        <v>24</v>
      </c>
      <c r="AI8" s="28" t="s">
        <v>16</v>
      </c>
      <c r="AJ8" s="28" t="s">
        <v>20</v>
      </c>
      <c r="AK8" s="28" t="s">
        <v>27</v>
      </c>
      <c r="AL8" s="28" t="s">
        <v>27</v>
      </c>
      <c r="AM8" s="53" t="s">
        <v>23</v>
      </c>
      <c r="AN8" s="44"/>
      <c r="AO8" s="18"/>
      <c r="AP8" s="19">
        <f t="shared" si="0"/>
        <v>5</v>
      </c>
      <c r="AQ8" s="19">
        <f t="shared" si="1"/>
        <v>3</v>
      </c>
      <c r="AR8" s="19">
        <f t="shared" si="2"/>
        <v>3</v>
      </c>
      <c r="AS8" s="19">
        <f t="shared" si="3"/>
        <v>2</v>
      </c>
      <c r="AT8" s="19">
        <f t="shared" si="13"/>
        <v>2</v>
      </c>
      <c r="AU8" s="19">
        <f t="shared" si="11"/>
        <v>2</v>
      </c>
      <c r="AV8" s="19">
        <f t="shared" si="12"/>
        <v>1</v>
      </c>
      <c r="AW8" s="19">
        <f t="shared" si="4"/>
        <v>2</v>
      </c>
      <c r="AX8" s="19">
        <f t="shared" si="5"/>
        <v>3</v>
      </c>
      <c r="AY8" s="19">
        <f t="shared" si="6"/>
        <v>1</v>
      </c>
      <c r="AZ8" s="19">
        <f t="shared" si="7"/>
        <v>1</v>
      </c>
      <c r="BA8" s="19">
        <f t="shared" si="8"/>
        <v>2</v>
      </c>
      <c r="BB8" s="19">
        <f t="shared" si="9"/>
        <v>2</v>
      </c>
      <c r="BC8" s="15">
        <f t="shared" si="10"/>
        <v>29</v>
      </c>
      <c r="BD8" s="12"/>
      <c r="BE8" s="12"/>
      <c r="BF8" s="12"/>
      <c r="BG8" s="12"/>
      <c r="BH8" s="12"/>
    </row>
    <row r="9" spans="1:60" ht="28.5" customHeight="1">
      <c r="A9" s="134">
        <v>4</v>
      </c>
      <c r="B9" s="13">
        <v>5</v>
      </c>
      <c r="C9" s="13" t="s">
        <v>35</v>
      </c>
      <c r="D9" s="40">
        <v>5</v>
      </c>
      <c r="E9" s="41" t="s">
        <v>26</v>
      </c>
      <c r="F9" s="16" t="s">
        <v>23</v>
      </c>
      <c r="G9" s="16" t="s">
        <v>15</v>
      </c>
      <c r="H9" s="16" t="s">
        <v>16</v>
      </c>
      <c r="I9" s="16" t="s">
        <v>17</v>
      </c>
      <c r="J9" s="17"/>
      <c r="K9" s="42"/>
      <c r="L9" s="51" t="s">
        <v>23</v>
      </c>
      <c r="M9" s="28" t="s">
        <v>17</v>
      </c>
      <c r="N9" s="28" t="s">
        <v>26</v>
      </c>
      <c r="O9" s="16" t="s">
        <v>20</v>
      </c>
      <c r="P9" s="16" t="s">
        <v>15</v>
      </c>
      <c r="Q9" s="16" t="s">
        <v>19</v>
      </c>
      <c r="R9" s="43" t="s">
        <v>19</v>
      </c>
      <c r="S9" s="41" t="s">
        <v>15</v>
      </c>
      <c r="T9" s="16" t="s">
        <v>22</v>
      </c>
      <c r="U9" s="16" t="s">
        <v>22</v>
      </c>
      <c r="V9" s="16" t="s">
        <v>21</v>
      </c>
      <c r="W9" s="16" t="s">
        <v>18</v>
      </c>
      <c r="X9" s="17"/>
      <c r="Y9" s="42"/>
      <c r="Z9" s="41" t="s">
        <v>16</v>
      </c>
      <c r="AA9" s="16" t="s">
        <v>23</v>
      </c>
      <c r="AB9" s="16" t="s">
        <v>15</v>
      </c>
      <c r="AC9" s="16" t="s">
        <v>17</v>
      </c>
      <c r="AD9" s="16" t="s">
        <v>18</v>
      </c>
      <c r="AE9" s="17"/>
      <c r="AF9" s="42"/>
      <c r="AG9" s="51" t="s">
        <v>15</v>
      </c>
      <c r="AH9" s="28" t="s">
        <v>24</v>
      </c>
      <c r="AI9" s="28" t="s">
        <v>16</v>
      </c>
      <c r="AJ9" s="28" t="s">
        <v>20</v>
      </c>
      <c r="AK9" s="28" t="s">
        <v>27</v>
      </c>
      <c r="AL9" s="28" t="s">
        <v>27</v>
      </c>
      <c r="AM9" s="53" t="s">
        <v>23</v>
      </c>
      <c r="AN9" s="44"/>
      <c r="AO9" s="18"/>
      <c r="AP9" s="19">
        <f t="shared" si="0"/>
        <v>5</v>
      </c>
      <c r="AQ9" s="19">
        <f t="shared" si="1"/>
        <v>3</v>
      </c>
      <c r="AR9" s="19">
        <f t="shared" si="2"/>
        <v>3</v>
      </c>
      <c r="AS9" s="19">
        <f t="shared" si="3"/>
        <v>2</v>
      </c>
      <c r="AT9" s="19">
        <f t="shared" si="13"/>
        <v>2</v>
      </c>
      <c r="AU9" s="19">
        <f t="shared" si="11"/>
        <v>2</v>
      </c>
      <c r="AV9" s="19">
        <f t="shared" si="12"/>
        <v>1</v>
      </c>
      <c r="AW9" s="19">
        <f t="shared" si="4"/>
        <v>2</v>
      </c>
      <c r="AX9" s="19">
        <f t="shared" si="5"/>
        <v>4</v>
      </c>
      <c r="AY9" s="19">
        <f t="shared" si="6"/>
        <v>1</v>
      </c>
      <c r="AZ9" s="19">
        <f t="shared" si="7"/>
        <v>0</v>
      </c>
      <c r="BA9" s="19">
        <f t="shared" si="8"/>
        <v>2</v>
      </c>
      <c r="BB9" s="19">
        <f t="shared" si="9"/>
        <v>2</v>
      </c>
      <c r="BC9" s="15">
        <f t="shared" si="10"/>
        <v>29</v>
      </c>
      <c r="BD9" s="12"/>
      <c r="BE9" s="12"/>
      <c r="BF9" s="12"/>
      <c r="BG9" s="12"/>
      <c r="BH9" s="12"/>
    </row>
    <row r="10" spans="1:60" ht="28.5" customHeight="1">
      <c r="A10" s="185"/>
      <c r="B10" s="13">
        <v>6</v>
      </c>
      <c r="C10" s="13" t="s">
        <v>36</v>
      </c>
      <c r="D10" s="40">
        <v>5</v>
      </c>
      <c r="E10" s="41" t="s">
        <v>26</v>
      </c>
      <c r="F10" s="16" t="s">
        <v>23</v>
      </c>
      <c r="G10" s="16" t="s">
        <v>15</v>
      </c>
      <c r="H10" s="16" t="s">
        <v>16</v>
      </c>
      <c r="I10" s="16" t="s">
        <v>17</v>
      </c>
      <c r="J10" s="17"/>
      <c r="K10" s="42"/>
      <c r="L10" s="51" t="s">
        <v>23</v>
      </c>
      <c r="M10" s="28" t="s">
        <v>17</v>
      </c>
      <c r="N10" s="28" t="s">
        <v>26</v>
      </c>
      <c r="O10" s="16" t="s">
        <v>20</v>
      </c>
      <c r="P10" s="16" t="s">
        <v>15</v>
      </c>
      <c r="Q10" s="16" t="s">
        <v>19</v>
      </c>
      <c r="R10" s="43" t="s">
        <v>19</v>
      </c>
      <c r="S10" s="41" t="s">
        <v>15</v>
      </c>
      <c r="T10" s="16" t="s">
        <v>22</v>
      </c>
      <c r="U10" s="16" t="s">
        <v>22</v>
      </c>
      <c r="V10" s="16" t="s">
        <v>21</v>
      </c>
      <c r="W10" s="16" t="s">
        <v>18</v>
      </c>
      <c r="X10" s="17"/>
      <c r="Y10" s="42"/>
      <c r="Z10" s="41" t="s">
        <v>16</v>
      </c>
      <c r="AA10" s="16" t="s">
        <v>23</v>
      </c>
      <c r="AB10" s="16" t="s">
        <v>15</v>
      </c>
      <c r="AC10" s="16" t="s">
        <v>17</v>
      </c>
      <c r="AD10" s="16" t="s">
        <v>18</v>
      </c>
      <c r="AE10" s="17"/>
      <c r="AF10" s="42"/>
      <c r="AG10" s="51" t="s">
        <v>15</v>
      </c>
      <c r="AH10" s="28" t="s">
        <v>24</v>
      </c>
      <c r="AI10" s="28" t="s">
        <v>16</v>
      </c>
      <c r="AJ10" s="28" t="s">
        <v>20</v>
      </c>
      <c r="AK10" s="28" t="s">
        <v>27</v>
      </c>
      <c r="AL10" s="28" t="s">
        <v>27</v>
      </c>
      <c r="AM10" s="53" t="s">
        <v>23</v>
      </c>
      <c r="AN10" s="44"/>
      <c r="AO10" s="18"/>
      <c r="AP10" s="19">
        <f t="shared" si="0"/>
        <v>5</v>
      </c>
      <c r="AQ10" s="19">
        <f t="shared" si="1"/>
        <v>3</v>
      </c>
      <c r="AR10" s="19">
        <f t="shared" si="2"/>
        <v>3</v>
      </c>
      <c r="AS10" s="19">
        <f t="shared" si="3"/>
        <v>2</v>
      </c>
      <c r="AT10" s="19">
        <f t="shared" si="13"/>
        <v>2</v>
      </c>
      <c r="AU10" s="19">
        <f t="shared" si="11"/>
        <v>2</v>
      </c>
      <c r="AV10" s="19">
        <f t="shared" si="12"/>
        <v>1</v>
      </c>
      <c r="AW10" s="19">
        <f t="shared" si="4"/>
        <v>2</v>
      </c>
      <c r="AX10" s="19">
        <f t="shared" si="5"/>
        <v>4</v>
      </c>
      <c r="AY10" s="19">
        <f t="shared" si="6"/>
        <v>1</v>
      </c>
      <c r="AZ10" s="19">
        <f t="shared" si="7"/>
        <v>0</v>
      </c>
      <c r="BA10" s="19">
        <f t="shared" si="8"/>
        <v>2</v>
      </c>
      <c r="BB10" s="19">
        <f t="shared" si="9"/>
        <v>2</v>
      </c>
      <c r="BC10" s="15">
        <f t="shared" si="10"/>
        <v>29</v>
      </c>
      <c r="BD10" s="12"/>
      <c r="BE10" s="12"/>
      <c r="BF10" s="12"/>
      <c r="BG10" s="12"/>
      <c r="BH10" s="12"/>
    </row>
    <row r="11" spans="1:60" ht="28.5" customHeight="1">
      <c r="A11" s="185"/>
      <c r="B11" s="13">
        <v>7</v>
      </c>
      <c r="C11" s="13" t="s">
        <v>37</v>
      </c>
      <c r="D11" s="40">
        <v>5</v>
      </c>
      <c r="E11" s="41" t="s">
        <v>26</v>
      </c>
      <c r="F11" s="16" t="s">
        <v>23</v>
      </c>
      <c r="G11" s="16" t="s">
        <v>15</v>
      </c>
      <c r="H11" s="16" t="s">
        <v>16</v>
      </c>
      <c r="I11" s="16" t="s">
        <v>17</v>
      </c>
      <c r="J11" s="17"/>
      <c r="K11" s="42"/>
      <c r="L11" s="51" t="s">
        <v>23</v>
      </c>
      <c r="M11" s="28" t="s">
        <v>17</v>
      </c>
      <c r="N11" s="28" t="s">
        <v>26</v>
      </c>
      <c r="O11" s="16" t="s">
        <v>20</v>
      </c>
      <c r="P11" s="16" t="s">
        <v>15</v>
      </c>
      <c r="Q11" s="16" t="s">
        <v>19</v>
      </c>
      <c r="R11" s="43" t="s">
        <v>19</v>
      </c>
      <c r="S11" s="41" t="s">
        <v>15</v>
      </c>
      <c r="T11" s="16" t="s">
        <v>22</v>
      </c>
      <c r="U11" s="16" t="s">
        <v>22</v>
      </c>
      <c r="V11" s="16" t="s">
        <v>21</v>
      </c>
      <c r="W11" s="16" t="s">
        <v>18</v>
      </c>
      <c r="X11" s="17"/>
      <c r="Y11" s="42"/>
      <c r="Z11" s="41" t="s">
        <v>16</v>
      </c>
      <c r="AA11" s="16" t="s">
        <v>23</v>
      </c>
      <c r="AB11" s="16" t="s">
        <v>15</v>
      </c>
      <c r="AC11" s="16" t="s">
        <v>17</v>
      </c>
      <c r="AD11" s="16" t="s">
        <v>18</v>
      </c>
      <c r="AE11" s="17"/>
      <c r="AF11" s="42"/>
      <c r="AG11" s="51" t="s">
        <v>15</v>
      </c>
      <c r="AH11" s="28" t="s">
        <v>24</v>
      </c>
      <c r="AI11" s="28" t="s">
        <v>16</v>
      </c>
      <c r="AJ11" s="28" t="s">
        <v>20</v>
      </c>
      <c r="AK11" s="28" t="s">
        <v>27</v>
      </c>
      <c r="AL11" s="28" t="s">
        <v>27</v>
      </c>
      <c r="AM11" s="53" t="s">
        <v>23</v>
      </c>
      <c r="AN11" s="44"/>
      <c r="AO11" s="18"/>
      <c r="AP11" s="19">
        <f t="shared" si="0"/>
        <v>5</v>
      </c>
      <c r="AQ11" s="19">
        <f t="shared" si="1"/>
        <v>3</v>
      </c>
      <c r="AR11" s="19">
        <f t="shared" si="2"/>
        <v>3</v>
      </c>
      <c r="AS11" s="19">
        <f t="shared" si="3"/>
        <v>2</v>
      </c>
      <c r="AT11" s="19">
        <f t="shared" si="13"/>
        <v>2</v>
      </c>
      <c r="AU11" s="19">
        <f t="shared" si="11"/>
        <v>2</v>
      </c>
      <c r="AV11" s="19">
        <f t="shared" si="12"/>
        <v>1</v>
      </c>
      <c r="AW11" s="19">
        <f t="shared" si="4"/>
        <v>2</v>
      </c>
      <c r="AX11" s="19">
        <f t="shared" si="5"/>
        <v>4</v>
      </c>
      <c r="AY11" s="19">
        <f t="shared" si="6"/>
        <v>1</v>
      </c>
      <c r="AZ11" s="19">
        <f t="shared" si="7"/>
        <v>0</v>
      </c>
      <c r="BA11" s="19">
        <f t="shared" si="8"/>
        <v>2</v>
      </c>
      <c r="BB11" s="19">
        <f t="shared" si="9"/>
        <v>2</v>
      </c>
      <c r="BC11" s="15">
        <f t="shared" si="10"/>
        <v>29</v>
      </c>
      <c r="BD11" s="12"/>
      <c r="BE11" s="12"/>
      <c r="BF11" s="12"/>
      <c r="BG11" s="12"/>
      <c r="BH11" s="12"/>
    </row>
    <row r="12" spans="1:60" ht="28.5" customHeight="1">
      <c r="A12" s="186"/>
      <c r="B12" s="13">
        <v>8</v>
      </c>
      <c r="C12" s="13" t="s">
        <v>38</v>
      </c>
      <c r="D12" s="40">
        <v>5</v>
      </c>
      <c r="E12" s="41" t="s">
        <v>26</v>
      </c>
      <c r="F12" s="16" t="s">
        <v>23</v>
      </c>
      <c r="G12" s="16" t="s">
        <v>15</v>
      </c>
      <c r="H12" s="16" t="s">
        <v>16</v>
      </c>
      <c r="I12" s="16" t="s">
        <v>17</v>
      </c>
      <c r="J12" s="17"/>
      <c r="K12" s="42"/>
      <c r="L12" s="93" t="s">
        <v>25</v>
      </c>
      <c r="M12" s="28" t="s">
        <v>17</v>
      </c>
      <c r="N12" s="28" t="s">
        <v>26</v>
      </c>
      <c r="O12" s="16" t="s">
        <v>20</v>
      </c>
      <c r="P12" s="16" t="s">
        <v>15</v>
      </c>
      <c r="Q12" s="16" t="s">
        <v>19</v>
      </c>
      <c r="R12" s="43" t="s">
        <v>19</v>
      </c>
      <c r="S12" s="41" t="s">
        <v>15</v>
      </c>
      <c r="T12" s="16" t="s">
        <v>22</v>
      </c>
      <c r="U12" s="16" t="s">
        <v>22</v>
      </c>
      <c r="V12" s="16" t="s">
        <v>21</v>
      </c>
      <c r="W12" s="16" t="s">
        <v>18</v>
      </c>
      <c r="X12" s="17"/>
      <c r="Y12" s="42"/>
      <c r="Z12" s="41" t="s">
        <v>16</v>
      </c>
      <c r="AA12" s="16" t="s">
        <v>23</v>
      </c>
      <c r="AB12" s="16" t="s">
        <v>15</v>
      </c>
      <c r="AC12" s="16" t="s">
        <v>17</v>
      </c>
      <c r="AD12" s="16" t="s">
        <v>18</v>
      </c>
      <c r="AE12" s="17"/>
      <c r="AF12" s="42"/>
      <c r="AG12" s="51" t="s">
        <v>15</v>
      </c>
      <c r="AH12" s="28" t="s">
        <v>24</v>
      </c>
      <c r="AI12" s="28" t="s">
        <v>16</v>
      </c>
      <c r="AJ12" s="28" t="s">
        <v>20</v>
      </c>
      <c r="AK12" s="28" t="s">
        <v>27</v>
      </c>
      <c r="AL12" s="28" t="s">
        <v>27</v>
      </c>
      <c r="AM12" s="53" t="s">
        <v>23</v>
      </c>
      <c r="AN12" s="44"/>
      <c r="AO12" s="18"/>
      <c r="AP12" s="19">
        <f t="shared" si="0"/>
        <v>5</v>
      </c>
      <c r="AQ12" s="19">
        <f t="shared" si="1"/>
        <v>3</v>
      </c>
      <c r="AR12" s="19">
        <f t="shared" si="2"/>
        <v>3</v>
      </c>
      <c r="AS12" s="19">
        <f t="shared" si="3"/>
        <v>2</v>
      </c>
      <c r="AT12" s="19">
        <f t="shared" si="13"/>
        <v>2</v>
      </c>
      <c r="AU12" s="19">
        <f t="shared" si="11"/>
        <v>2</v>
      </c>
      <c r="AV12" s="19">
        <f t="shared" si="12"/>
        <v>1</v>
      </c>
      <c r="AW12" s="19">
        <f t="shared" si="4"/>
        <v>2</v>
      </c>
      <c r="AX12" s="19">
        <f t="shared" si="5"/>
        <v>3</v>
      </c>
      <c r="AY12" s="19">
        <f t="shared" si="6"/>
        <v>1</v>
      </c>
      <c r="AZ12" s="19">
        <f t="shared" si="7"/>
        <v>1</v>
      </c>
      <c r="BA12" s="19">
        <f t="shared" si="8"/>
        <v>2</v>
      </c>
      <c r="BB12" s="19">
        <f t="shared" si="9"/>
        <v>2</v>
      </c>
      <c r="BC12" s="15">
        <f t="shared" si="10"/>
        <v>29</v>
      </c>
      <c r="BD12" s="12"/>
      <c r="BE12" s="12"/>
      <c r="BF12" s="12"/>
      <c r="BG12" s="12"/>
      <c r="BH12" s="12"/>
    </row>
    <row r="13" spans="1:60" ht="28.5" customHeight="1">
      <c r="A13" s="134">
        <v>5</v>
      </c>
      <c r="B13" s="13">
        <v>9</v>
      </c>
      <c r="C13" s="13" t="s">
        <v>39</v>
      </c>
      <c r="D13" s="40">
        <v>4</v>
      </c>
      <c r="E13" s="41" t="s">
        <v>26</v>
      </c>
      <c r="F13" s="16" t="s">
        <v>23</v>
      </c>
      <c r="G13" s="16" t="s">
        <v>15</v>
      </c>
      <c r="H13" s="16" t="s">
        <v>16</v>
      </c>
      <c r="I13" s="16" t="s">
        <v>17</v>
      </c>
      <c r="J13" s="17"/>
      <c r="K13" s="42"/>
      <c r="L13" s="51" t="s">
        <v>23</v>
      </c>
      <c r="M13" s="28" t="s">
        <v>17</v>
      </c>
      <c r="N13" s="28" t="s">
        <v>26</v>
      </c>
      <c r="O13" s="16" t="s">
        <v>20</v>
      </c>
      <c r="P13" s="16" t="s">
        <v>15</v>
      </c>
      <c r="Q13" s="16" t="s">
        <v>19</v>
      </c>
      <c r="R13" s="43" t="s">
        <v>19</v>
      </c>
      <c r="S13" s="41" t="s">
        <v>15</v>
      </c>
      <c r="T13" s="16" t="s">
        <v>22</v>
      </c>
      <c r="U13" s="16" t="s">
        <v>22</v>
      </c>
      <c r="V13" s="16" t="s">
        <v>21</v>
      </c>
      <c r="W13" s="16" t="s">
        <v>18</v>
      </c>
      <c r="X13" s="17"/>
      <c r="Y13" s="42"/>
      <c r="Z13" s="41" t="s">
        <v>16</v>
      </c>
      <c r="AA13" s="16" t="s">
        <v>23</v>
      </c>
      <c r="AB13" s="16" t="s">
        <v>15</v>
      </c>
      <c r="AC13" s="16" t="s">
        <v>17</v>
      </c>
      <c r="AD13" s="16" t="s">
        <v>18</v>
      </c>
      <c r="AE13" s="17"/>
      <c r="AF13" s="42"/>
      <c r="AG13" s="135" t="s">
        <v>40</v>
      </c>
      <c r="AH13" s="187"/>
      <c r="AI13" s="187"/>
      <c r="AJ13" s="187"/>
      <c r="AK13" s="187"/>
      <c r="AL13" s="187"/>
      <c r="AM13" s="188"/>
      <c r="AN13" s="45"/>
      <c r="AO13" s="18"/>
      <c r="AP13" s="19">
        <f t="shared" si="0"/>
        <v>4</v>
      </c>
      <c r="AQ13" s="19">
        <f t="shared" si="1"/>
        <v>2</v>
      </c>
      <c r="AR13" s="19">
        <f t="shared" si="2"/>
        <v>3</v>
      </c>
      <c r="AS13" s="19">
        <f t="shared" si="3"/>
        <v>2</v>
      </c>
      <c r="AT13" s="19">
        <f t="shared" si="13"/>
        <v>2</v>
      </c>
      <c r="AU13" s="19">
        <f t="shared" si="11"/>
        <v>1</v>
      </c>
      <c r="AV13" s="19">
        <f t="shared" si="12"/>
        <v>1</v>
      </c>
      <c r="AW13" s="19">
        <f t="shared" si="4"/>
        <v>2</v>
      </c>
      <c r="AX13" s="19">
        <f t="shared" si="5"/>
        <v>3</v>
      </c>
      <c r="AY13" s="19">
        <f t="shared" si="6"/>
        <v>0</v>
      </c>
      <c r="AZ13" s="19">
        <f t="shared" si="7"/>
        <v>0</v>
      </c>
      <c r="BA13" s="19">
        <f t="shared" si="8"/>
        <v>2</v>
      </c>
      <c r="BB13" s="19">
        <f t="shared" si="9"/>
        <v>0</v>
      </c>
      <c r="BC13" s="15">
        <f t="shared" si="10"/>
        <v>22</v>
      </c>
      <c r="BD13" s="12"/>
      <c r="BE13" s="12"/>
      <c r="BF13" s="12"/>
      <c r="BG13" s="12"/>
      <c r="BH13" s="12"/>
    </row>
    <row r="14" spans="1:60" ht="28.5" customHeight="1">
      <c r="A14" s="185"/>
      <c r="B14" s="13">
        <v>10</v>
      </c>
      <c r="C14" s="13" t="s">
        <v>41</v>
      </c>
      <c r="D14" s="40">
        <v>3</v>
      </c>
      <c r="E14" s="135" t="s">
        <v>30</v>
      </c>
      <c r="F14" s="187"/>
      <c r="G14" s="187"/>
      <c r="H14" s="187"/>
      <c r="I14" s="187"/>
      <c r="J14" s="187"/>
      <c r="K14" s="188"/>
      <c r="L14" s="135" t="s">
        <v>42</v>
      </c>
      <c r="M14" s="187"/>
      <c r="N14" s="187"/>
      <c r="O14" s="187"/>
      <c r="P14" s="187"/>
      <c r="Q14" s="187"/>
      <c r="R14" s="188"/>
      <c r="S14" s="41" t="s">
        <v>15</v>
      </c>
      <c r="T14" s="16" t="s">
        <v>22</v>
      </c>
      <c r="U14" s="16" t="s">
        <v>22</v>
      </c>
      <c r="V14" s="16" t="s">
        <v>21</v>
      </c>
      <c r="W14" s="16" t="s">
        <v>18</v>
      </c>
      <c r="X14" s="17"/>
      <c r="Y14" s="42"/>
      <c r="Z14" s="41" t="s">
        <v>16</v>
      </c>
      <c r="AA14" s="16" t="s">
        <v>23</v>
      </c>
      <c r="AB14" s="16" t="s">
        <v>15</v>
      </c>
      <c r="AC14" s="16" t="s">
        <v>17</v>
      </c>
      <c r="AD14" s="16" t="s">
        <v>18</v>
      </c>
      <c r="AE14" s="17"/>
      <c r="AF14" s="42"/>
      <c r="AG14" s="51" t="s">
        <v>15</v>
      </c>
      <c r="AH14" s="28" t="s">
        <v>24</v>
      </c>
      <c r="AI14" s="28" t="s">
        <v>16</v>
      </c>
      <c r="AJ14" s="28" t="s">
        <v>20</v>
      </c>
      <c r="AK14" s="28" t="s">
        <v>27</v>
      </c>
      <c r="AL14" s="28" t="s">
        <v>27</v>
      </c>
      <c r="AM14" s="53" t="s">
        <v>23</v>
      </c>
      <c r="AN14" s="44"/>
      <c r="AO14" s="18"/>
      <c r="AP14" s="19">
        <f t="shared" si="0"/>
        <v>3</v>
      </c>
      <c r="AQ14" s="19">
        <f t="shared" si="1"/>
        <v>2</v>
      </c>
      <c r="AR14" s="19">
        <f t="shared" si="2"/>
        <v>1</v>
      </c>
      <c r="AS14" s="19">
        <f t="shared" si="3"/>
        <v>2</v>
      </c>
      <c r="AT14" s="19">
        <f t="shared" si="13"/>
        <v>0</v>
      </c>
      <c r="AU14" s="19">
        <f t="shared" si="11"/>
        <v>1</v>
      </c>
      <c r="AV14" s="19">
        <f t="shared" si="12"/>
        <v>1</v>
      </c>
      <c r="AW14" s="19">
        <f t="shared" si="4"/>
        <v>2</v>
      </c>
      <c r="AX14" s="19">
        <f t="shared" si="5"/>
        <v>2</v>
      </c>
      <c r="AY14" s="19">
        <f t="shared" si="6"/>
        <v>1</v>
      </c>
      <c r="AZ14" s="19">
        <f t="shared" si="7"/>
        <v>0</v>
      </c>
      <c r="BA14" s="19">
        <f t="shared" si="8"/>
        <v>0</v>
      </c>
      <c r="BB14" s="19">
        <f t="shared" si="9"/>
        <v>2</v>
      </c>
      <c r="BC14" s="15">
        <f t="shared" si="10"/>
        <v>17</v>
      </c>
      <c r="BD14" s="12"/>
      <c r="BE14" s="12"/>
      <c r="BF14" s="12"/>
      <c r="BG14" s="12"/>
      <c r="BH14" s="12"/>
    </row>
    <row r="15" spans="1:60" ht="28.5" customHeight="1">
      <c r="A15" s="185"/>
      <c r="B15" s="13">
        <v>11</v>
      </c>
      <c r="C15" s="13" t="s">
        <v>43</v>
      </c>
      <c r="D15" s="40">
        <v>5</v>
      </c>
      <c r="E15" s="41" t="s">
        <v>26</v>
      </c>
      <c r="F15" s="16" t="s">
        <v>23</v>
      </c>
      <c r="G15" s="16" t="s">
        <v>15</v>
      </c>
      <c r="H15" s="16" t="s">
        <v>16</v>
      </c>
      <c r="I15" s="16" t="s">
        <v>17</v>
      </c>
      <c r="J15" s="17"/>
      <c r="K15" s="42"/>
      <c r="L15" s="51" t="s">
        <v>23</v>
      </c>
      <c r="M15" s="28" t="s">
        <v>17</v>
      </c>
      <c r="N15" s="28" t="s">
        <v>26</v>
      </c>
      <c r="O15" s="16" t="s">
        <v>20</v>
      </c>
      <c r="P15" s="16" t="s">
        <v>15</v>
      </c>
      <c r="Q15" s="16" t="s">
        <v>19</v>
      </c>
      <c r="R15" s="43" t="s">
        <v>19</v>
      </c>
      <c r="S15" s="41" t="s">
        <v>15</v>
      </c>
      <c r="T15" s="16" t="s">
        <v>22</v>
      </c>
      <c r="U15" s="16" t="s">
        <v>22</v>
      </c>
      <c r="V15" s="16" t="s">
        <v>21</v>
      </c>
      <c r="W15" s="16" t="s">
        <v>18</v>
      </c>
      <c r="X15" s="17"/>
      <c r="Y15" s="42"/>
      <c r="Z15" s="41" t="s">
        <v>16</v>
      </c>
      <c r="AA15" s="16" t="s">
        <v>23</v>
      </c>
      <c r="AB15" s="16" t="s">
        <v>15</v>
      </c>
      <c r="AC15" s="16" t="s">
        <v>17</v>
      </c>
      <c r="AD15" s="16" t="s">
        <v>18</v>
      </c>
      <c r="AE15" s="17"/>
      <c r="AF15" s="42"/>
      <c r="AG15" s="51" t="s">
        <v>15</v>
      </c>
      <c r="AH15" s="28" t="s">
        <v>24</v>
      </c>
      <c r="AI15" s="28" t="s">
        <v>16</v>
      </c>
      <c r="AJ15" s="28" t="s">
        <v>20</v>
      </c>
      <c r="AK15" s="28" t="s">
        <v>27</v>
      </c>
      <c r="AL15" s="28" t="s">
        <v>27</v>
      </c>
      <c r="AM15" s="53" t="s">
        <v>23</v>
      </c>
      <c r="AN15" s="44"/>
      <c r="AO15" s="18"/>
      <c r="AP15" s="19">
        <f t="shared" si="0"/>
        <v>5</v>
      </c>
      <c r="AQ15" s="19">
        <f t="shared" si="1"/>
        <v>3</v>
      </c>
      <c r="AR15" s="19">
        <f t="shared" si="2"/>
        <v>3</v>
      </c>
      <c r="AS15" s="19">
        <f t="shared" si="3"/>
        <v>2</v>
      </c>
      <c r="AT15" s="19">
        <f t="shared" si="13"/>
        <v>2</v>
      </c>
      <c r="AU15" s="19">
        <f t="shared" si="11"/>
        <v>2</v>
      </c>
      <c r="AV15" s="19">
        <f t="shared" si="12"/>
        <v>1</v>
      </c>
      <c r="AW15" s="19">
        <f t="shared" si="4"/>
        <v>2</v>
      </c>
      <c r="AX15" s="19">
        <f t="shared" si="5"/>
        <v>4</v>
      </c>
      <c r="AY15" s="19">
        <f t="shared" si="6"/>
        <v>1</v>
      </c>
      <c r="AZ15" s="19">
        <f t="shared" si="7"/>
        <v>0</v>
      </c>
      <c r="BA15" s="19">
        <f t="shared" si="8"/>
        <v>2</v>
      </c>
      <c r="BB15" s="19">
        <f t="shared" si="9"/>
        <v>2</v>
      </c>
      <c r="BC15" s="15">
        <f t="shared" si="10"/>
        <v>29</v>
      </c>
      <c r="BD15" s="12"/>
      <c r="BE15" s="12"/>
      <c r="BF15" s="12"/>
      <c r="BG15" s="12"/>
      <c r="BH15" s="12"/>
    </row>
    <row r="16" spans="1:60" ht="28.5" customHeight="1">
      <c r="A16" s="185"/>
      <c r="B16" s="13">
        <v>12</v>
      </c>
      <c r="C16" s="13" t="s">
        <v>44</v>
      </c>
      <c r="D16" s="40">
        <v>5</v>
      </c>
      <c r="E16" s="41" t="s">
        <v>26</v>
      </c>
      <c r="F16" s="16" t="s">
        <v>23</v>
      </c>
      <c r="G16" s="16" t="s">
        <v>15</v>
      </c>
      <c r="H16" s="16" t="s">
        <v>16</v>
      </c>
      <c r="I16" s="16" t="s">
        <v>17</v>
      </c>
      <c r="J16" s="17"/>
      <c r="K16" s="42"/>
      <c r="L16" s="51" t="s">
        <v>23</v>
      </c>
      <c r="M16" s="28" t="s">
        <v>17</v>
      </c>
      <c r="N16" s="28" t="s">
        <v>26</v>
      </c>
      <c r="O16" s="16" t="s">
        <v>20</v>
      </c>
      <c r="P16" s="16" t="s">
        <v>15</v>
      </c>
      <c r="Q16" s="16" t="s">
        <v>19</v>
      </c>
      <c r="R16" s="43" t="s">
        <v>19</v>
      </c>
      <c r="S16" s="41" t="s">
        <v>15</v>
      </c>
      <c r="T16" s="16" t="s">
        <v>22</v>
      </c>
      <c r="U16" s="16" t="s">
        <v>22</v>
      </c>
      <c r="V16" s="16" t="s">
        <v>21</v>
      </c>
      <c r="W16" s="16" t="s">
        <v>18</v>
      </c>
      <c r="X16" s="17"/>
      <c r="Y16" s="42"/>
      <c r="Z16" s="41" t="s">
        <v>16</v>
      </c>
      <c r="AA16" s="16" t="s">
        <v>23</v>
      </c>
      <c r="AB16" s="16" t="s">
        <v>15</v>
      </c>
      <c r="AC16" s="16" t="s">
        <v>17</v>
      </c>
      <c r="AD16" s="16" t="s">
        <v>18</v>
      </c>
      <c r="AE16" s="17"/>
      <c r="AF16" s="42"/>
      <c r="AG16" s="51" t="s">
        <v>15</v>
      </c>
      <c r="AH16" s="28" t="s">
        <v>24</v>
      </c>
      <c r="AI16" s="28" t="s">
        <v>16</v>
      </c>
      <c r="AJ16" s="28" t="s">
        <v>20</v>
      </c>
      <c r="AK16" s="28" t="s">
        <v>27</v>
      </c>
      <c r="AL16" s="28" t="s">
        <v>27</v>
      </c>
      <c r="AM16" s="53" t="s">
        <v>23</v>
      </c>
      <c r="AN16" s="44"/>
      <c r="AO16" s="18"/>
      <c r="AP16" s="19">
        <f t="shared" si="0"/>
        <v>5</v>
      </c>
      <c r="AQ16" s="19">
        <f t="shared" si="1"/>
        <v>3</v>
      </c>
      <c r="AR16" s="19">
        <f t="shared" si="2"/>
        <v>3</v>
      </c>
      <c r="AS16" s="19">
        <f t="shared" si="3"/>
        <v>2</v>
      </c>
      <c r="AT16" s="19">
        <f t="shared" si="13"/>
        <v>2</v>
      </c>
      <c r="AU16" s="19">
        <f t="shared" si="11"/>
        <v>2</v>
      </c>
      <c r="AV16" s="19">
        <f t="shared" si="12"/>
        <v>1</v>
      </c>
      <c r="AW16" s="19">
        <f t="shared" si="4"/>
        <v>2</v>
      </c>
      <c r="AX16" s="19">
        <f t="shared" si="5"/>
        <v>4</v>
      </c>
      <c r="AY16" s="19">
        <f t="shared" si="6"/>
        <v>1</v>
      </c>
      <c r="AZ16" s="19">
        <f t="shared" si="7"/>
        <v>0</v>
      </c>
      <c r="BA16" s="19">
        <f t="shared" si="8"/>
        <v>2</v>
      </c>
      <c r="BB16" s="19">
        <f t="shared" si="9"/>
        <v>2</v>
      </c>
      <c r="BC16" s="15">
        <f t="shared" si="10"/>
        <v>29</v>
      </c>
      <c r="BD16" s="12"/>
      <c r="BE16" s="12"/>
      <c r="BF16" s="12"/>
      <c r="BG16" s="12"/>
      <c r="BH16" s="12"/>
    </row>
    <row r="17" spans="1:60" ht="28.5" customHeight="1">
      <c r="A17" s="186"/>
      <c r="B17" s="13">
        <v>13</v>
      </c>
      <c r="C17" s="13" t="s">
        <v>45</v>
      </c>
      <c r="D17" s="40">
        <v>4</v>
      </c>
      <c r="E17" s="135" t="s">
        <v>30</v>
      </c>
      <c r="F17" s="187"/>
      <c r="G17" s="187"/>
      <c r="H17" s="187"/>
      <c r="I17" s="187"/>
      <c r="J17" s="187"/>
      <c r="K17" s="188"/>
      <c r="L17" s="93" t="s">
        <v>25</v>
      </c>
      <c r="M17" s="28" t="s">
        <v>17</v>
      </c>
      <c r="N17" s="28" t="s">
        <v>26</v>
      </c>
      <c r="O17" s="16" t="s">
        <v>20</v>
      </c>
      <c r="P17" s="16" t="s">
        <v>15</v>
      </c>
      <c r="Q17" s="16" t="s">
        <v>19</v>
      </c>
      <c r="R17" s="43" t="s">
        <v>19</v>
      </c>
      <c r="S17" s="41" t="s">
        <v>15</v>
      </c>
      <c r="T17" s="16" t="s">
        <v>22</v>
      </c>
      <c r="U17" s="81" t="s">
        <v>27</v>
      </c>
      <c r="V17" s="16" t="s">
        <v>21</v>
      </c>
      <c r="W17" s="16" t="s">
        <v>18</v>
      </c>
      <c r="X17" s="17"/>
      <c r="Y17" s="42"/>
      <c r="Z17" s="41" t="s">
        <v>16</v>
      </c>
      <c r="AA17" s="16" t="s">
        <v>23</v>
      </c>
      <c r="AB17" s="16" t="s">
        <v>15</v>
      </c>
      <c r="AC17" s="16" t="s">
        <v>17</v>
      </c>
      <c r="AD17" s="16" t="s">
        <v>18</v>
      </c>
      <c r="AE17" s="17"/>
      <c r="AF17" s="42"/>
      <c r="AG17" s="41" t="s">
        <v>15</v>
      </c>
      <c r="AH17" s="16" t="s">
        <v>24</v>
      </c>
      <c r="AI17" s="16" t="s">
        <v>16</v>
      </c>
      <c r="AJ17" s="16" t="s">
        <v>20</v>
      </c>
      <c r="AK17" s="16" t="s">
        <v>27</v>
      </c>
      <c r="AL17" s="16" t="s">
        <v>27</v>
      </c>
      <c r="AM17" s="43" t="s">
        <v>23</v>
      </c>
      <c r="AN17" s="44"/>
      <c r="AO17" s="18"/>
      <c r="AP17" s="19">
        <f t="shared" si="0"/>
        <v>4</v>
      </c>
      <c r="AQ17" s="19">
        <f t="shared" si="1"/>
        <v>2</v>
      </c>
      <c r="AR17" s="19">
        <f t="shared" si="2"/>
        <v>2</v>
      </c>
      <c r="AS17" s="19">
        <f t="shared" si="3"/>
        <v>2</v>
      </c>
      <c r="AT17" s="19">
        <f t="shared" si="13"/>
        <v>2</v>
      </c>
      <c r="AU17" s="19">
        <f t="shared" si="11"/>
        <v>2</v>
      </c>
      <c r="AV17" s="19">
        <f t="shared" si="12"/>
        <v>1</v>
      </c>
      <c r="AW17" s="19">
        <f t="shared" si="4"/>
        <v>1</v>
      </c>
      <c r="AX17" s="19">
        <f t="shared" si="5"/>
        <v>2</v>
      </c>
      <c r="AY17" s="19">
        <f t="shared" si="6"/>
        <v>1</v>
      </c>
      <c r="AZ17" s="19">
        <f t="shared" si="7"/>
        <v>1</v>
      </c>
      <c r="BA17" s="19">
        <f t="shared" si="8"/>
        <v>1</v>
      </c>
      <c r="BB17" s="19">
        <f t="shared" si="9"/>
        <v>3</v>
      </c>
      <c r="BC17" s="15">
        <f t="shared" si="10"/>
        <v>24</v>
      </c>
      <c r="BD17" s="12"/>
      <c r="BE17" s="12"/>
      <c r="BF17" s="12"/>
      <c r="BG17" s="12"/>
      <c r="BH17" s="12"/>
    </row>
    <row r="18" spans="1:60" ht="28.5" customHeight="1">
      <c r="A18" s="134">
        <v>6</v>
      </c>
      <c r="B18" s="13">
        <v>14</v>
      </c>
      <c r="C18" s="13" t="s">
        <v>46</v>
      </c>
      <c r="D18" s="40">
        <v>4</v>
      </c>
      <c r="E18" s="41" t="s">
        <v>26</v>
      </c>
      <c r="F18" s="16" t="s">
        <v>23</v>
      </c>
      <c r="G18" s="16" t="s">
        <v>15</v>
      </c>
      <c r="H18" s="16" t="s">
        <v>16</v>
      </c>
      <c r="I18" s="16" t="s">
        <v>17</v>
      </c>
      <c r="J18" s="17"/>
      <c r="K18" s="42"/>
      <c r="L18" s="51" t="s">
        <v>23</v>
      </c>
      <c r="M18" s="28" t="s">
        <v>17</v>
      </c>
      <c r="N18" s="28" t="s">
        <v>26</v>
      </c>
      <c r="O18" s="16" t="s">
        <v>20</v>
      </c>
      <c r="P18" s="16" t="s">
        <v>15</v>
      </c>
      <c r="Q18" s="16" t="s">
        <v>19</v>
      </c>
      <c r="R18" s="43" t="s">
        <v>19</v>
      </c>
      <c r="S18" s="135" t="s">
        <v>47</v>
      </c>
      <c r="T18" s="187"/>
      <c r="U18" s="187"/>
      <c r="V18" s="187"/>
      <c r="W18" s="187"/>
      <c r="X18" s="187"/>
      <c r="Y18" s="188"/>
      <c r="Z18" s="41" t="s">
        <v>16</v>
      </c>
      <c r="AA18" s="16" t="s">
        <v>23</v>
      </c>
      <c r="AB18" s="16" t="s">
        <v>15</v>
      </c>
      <c r="AC18" s="16" t="s">
        <v>17</v>
      </c>
      <c r="AD18" s="16" t="s">
        <v>18</v>
      </c>
      <c r="AE18" s="17"/>
      <c r="AF18" s="42"/>
      <c r="AG18" s="41" t="s">
        <v>15</v>
      </c>
      <c r="AH18" s="16" t="s">
        <v>24</v>
      </c>
      <c r="AI18" s="16" t="s">
        <v>16</v>
      </c>
      <c r="AJ18" s="16" t="s">
        <v>20</v>
      </c>
      <c r="AK18" s="16" t="s">
        <v>27</v>
      </c>
      <c r="AL18" s="16" t="s">
        <v>27</v>
      </c>
      <c r="AM18" s="43" t="s">
        <v>23</v>
      </c>
      <c r="AN18" s="44"/>
      <c r="AO18" s="18"/>
      <c r="AP18" s="19">
        <f t="shared" si="0"/>
        <v>4</v>
      </c>
      <c r="AQ18" s="19">
        <f t="shared" si="1"/>
        <v>3</v>
      </c>
      <c r="AR18" s="19">
        <f t="shared" si="2"/>
        <v>3</v>
      </c>
      <c r="AS18" s="19">
        <f t="shared" si="3"/>
        <v>1</v>
      </c>
      <c r="AT18" s="19">
        <f t="shared" si="13"/>
        <v>2</v>
      </c>
      <c r="AU18" s="19">
        <f t="shared" si="11"/>
        <v>2</v>
      </c>
      <c r="AV18" s="19">
        <f t="shared" si="12"/>
        <v>0</v>
      </c>
      <c r="AW18" s="19">
        <f t="shared" si="4"/>
        <v>0</v>
      </c>
      <c r="AX18" s="19">
        <f t="shared" si="5"/>
        <v>4</v>
      </c>
      <c r="AY18" s="19">
        <f t="shared" si="6"/>
        <v>1</v>
      </c>
      <c r="AZ18" s="19">
        <f t="shared" si="7"/>
        <v>0</v>
      </c>
      <c r="BA18" s="19">
        <f t="shared" si="8"/>
        <v>2</v>
      </c>
      <c r="BB18" s="19">
        <f t="shared" si="9"/>
        <v>2</v>
      </c>
      <c r="BC18" s="15">
        <f t="shared" si="10"/>
        <v>24</v>
      </c>
      <c r="BD18" s="12"/>
      <c r="BE18" s="12"/>
      <c r="BF18" s="12"/>
      <c r="BG18" s="12"/>
      <c r="BH18" s="12"/>
    </row>
    <row r="19" spans="1:60" ht="28.5" customHeight="1">
      <c r="A19" s="185"/>
      <c r="B19" s="13">
        <v>15</v>
      </c>
      <c r="C19" s="13" t="s">
        <v>48</v>
      </c>
      <c r="D19" s="40">
        <v>5</v>
      </c>
      <c r="E19" s="41" t="s">
        <v>26</v>
      </c>
      <c r="F19" s="16" t="s">
        <v>23</v>
      </c>
      <c r="G19" s="16" t="s">
        <v>15</v>
      </c>
      <c r="H19" s="16" t="s">
        <v>16</v>
      </c>
      <c r="I19" s="16" t="s">
        <v>17</v>
      </c>
      <c r="J19" s="17"/>
      <c r="K19" s="42"/>
      <c r="L19" s="51" t="s">
        <v>23</v>
      </c>
      <c r="M19" s="28" t="s">
        <v>17</v>
      </c>
      <c r="N19" s="28" t="s">
        <v>26</v>
      </c>
      <c r="O19" s="16" t="s">
        <v>20</v>
      </c>
      <c r="P19" s="16" t="s">
        <v>15</v>
      </c>
      <c r="Q19" s="16" t="s">
        <v>19</v>
      </c>
      <c r="R19" s="43" t="s">
        <v>19</v>
      </c>
      <c r="S19" s="41" t="s">
        <v>15</v>
      </c>
      <c r="T19" s="16" t="s">
        <v>22</v>
      </c>
      <c r="U19" s="81" t="s">
        <v>27</v>
      </c>
      <c r="V19" s="16" t="s">
        <v>21</v>
      </c>
      <c r="W19" s="16" t="s">
        <v>18</v>
      </c>
      <c r="X19" s="17"/>
      <c r="Y19" s="42"/>
      <c r="Z19" s="41" t="s">
        <v>16</v>
      </c>
      <c r="AA19" s="16" t="s">
        <v>23</v>
      </c>
      <c r="AB19" s="16" t="s">
        <v>15</v>
      </c>
      <c r="AC19" s="16" t="s">
        <v>17</v>
      </c>
      <c r="AD19" s="16" t="s">
        <v>18</v>
      </c>
      <c r="AE19" s="17"/>
      <c r="AF19" s="42"/>
      <c r="AG19" s="41" t="s">
        <v>15</v>
      </c>
      <c r="AH19" s="16" t="s">
        <v>24</v>
      </c>
      <c r="AI19" s="16" t="s">
        <v>16</v>
      </c>
      <c r="AJ19" s="16" t="s">
        <v>20</v>
      </c>
      <c r="AK19" s="16" t="s">
        <v>27</v>
      </c>
      <c r="AL19" s="16" t="s">
        <v>27</v>
      </c>
      <c r="AM19" s="43" t="s">
        <v>23</v>
      </c>
      <c r="AN19" s="44"/>
      <c r="AO19" s="18"/>
      <c r="AP19" s="19">
        <f t="shared" si="0"/>
        <v>5</v>
      </c>
      <c r="AQ19" s="19">
        <f t="shared" si="1"/>
        <v>3</v>
      </c>
      <c r="AR19" s="19">
        <f t="shared" si="2"/>
        <v>3</v>
      </c>
      <c r="AS19" s="19">
        <f t="shared" si="3"/>
        <v>2</v>
      </c>
      <c r="AT19" s="19">
        <f t="shared" si="13"/>
        <v>2</v>
      </c>
      <c r="AU19" s="19">
        <f t="shared" si="11"/>
        <v>2</v>
      </c>
      <c r="AV19" s="19">
        <f t="shared" si="12"/>
        <v>1</v>
      </c>
      <c r="AW19" s="19">
        <f t="shared" si="4"/>
        <v>1</v>
      </c>
      <c r="AX19" s="19">
        <f t="shared" si="5"/>
        <v>4</v>
      </c>
      <c r="AY19" s="19">
        <f t="shared" si="6"/>
        <v>1</v>
      </c>
      <c r="AZ19" s="19">
        <f t="shared" si="7"/>
        <v>0</v>
      </c>
      <c r="BA19" s="19">
        <f t="shared" si="8"/>
        <v>2</v>
      </c>
      <c r="BB19" s="19">
        <f t="shared" si="9"/>
        <v>3</v>
      </c>
      <c r="BC19" s="15">
        <f t="shared" si="10"/>
        <v>29</v>
      </c>
      <c r="BD19" s="12"/>
      <c r="BE19" s="12"/>
      <c r="BF19" s="12"/>
      <c r="BG19" s="12"/>
      <c r="BH19" s="12"/>
    </row>
    <row r="20" spans="1:60" ht="28.5" customHeight="1">
      <c r="A20" s="185"/>
      <c r="B20" s="13">
        <v>16</v>
      </c>
      <c r="C20" s="13" t="s">
        <v>49</v>
      </c>
      <c r="D20" s="40">
        <v>5</v>
      </c>
      <c r="E20" s="41" t="s">
        <v>26</v>
      </c>
      <c r="F20" s="16" t="s">
        <v>23</v>
      </c>
      <c r="G20" s="16" t="s">
        <v>15</v>
      </c>
      <c r="H20" s="16" t="s">
        <v>16</v>
      </c>
      <c r="I20" s="16" t="s">
        <v>17</v>
      </c>
      <c r="J20" s="17"/>
      <c r="K20" s="42"/>
      <c r="L20" s="51" t="s">
        <v>23</v>
      </c>
      <c r="M20" s="28" t="s">
        <v>17</v>
      </c>
      <c r="N20" s="28" t="s">
        <v>26</v>
      </c>
      <c r="O20" s="16" t="s">
        <v>20</v>
      </c>
      <c r="P20" s="16" t="s">
        <v>15</v>
      </c>
      <c r="Q20" s="16" t="s">
        <v>19</v>
      </c>
      <c r="R20" s="43" t="s">
        <v>19</v>
      </c>
      <c r="S20" s="41" t="s">
        <v>15</v>
      </c>
      <c r="T20" s="16" t="s">
        <v>22</v>
      </c>
      <c r="U20" s="81" t="s">
        <v>21</v>
      </c>
      <c r="V20" s="16" t="s">
        <v>21</v>
      </c>
      <c r="W20" s="16" t="s">
        <v>18</v>
      </c>
      <c r="X20" s="17"/>
      <c r="Y20" s="42"/>
      <c r="Z20" s="41" t="s">
        <v>16</v>
      </c>
      <c r="AA20" s="16" t="s">
        <v>23</v>
      </c>
      <c r="AB20" s="81" t="s">
        <v>23</v>
      </c>
      <c r="AC20" s="16" t="s">
        <v>17</v>
      </c>
      <c r="AD20" s="16" t="s">
        <v>18</v>
      </c>
      <c r="AE20" s="17"/>
      <c r="AF20" s="42"/>
      <c r="AG20" s="82" t="s">
        <v>23</v>
      </c>
      <c r="AH20" s="16" t="s">
        <v>24</v>
      </c>
      <c r="AI20" s="16" t="s">
        <v>16</v>
      </c>
      <c r="AJ20" s="16" t="s">
        <v>20</v>
      </c>
      <c r="AK20" s="16" t="s">
        <v>27</v>
      </c>
      <c r="AL20" s="16" t="s">
        <v>27</v>
      </c>
      <c r="AM20" s="43" t="s">
        <v>23</v>
      </c>
      <c r="AN20" s="44"/>
      <c r="AO20" s="18"/>
      <c r="AP20" s="19">
        <f t="shared" si="0"/>
        <v>3</v>
      </c>
      <c r="AQ20" s="19">
        <f t="shared" si="1"/>
        <v>3</v>
      </c>
      <c r="AR20" s="19">
        <f t="shared" si="2"/>
        <v>3</v>
      </c>
      <c r="AS20" s="19">
        <f t="shared" si="3"/>
        <v>2</v>
      </c>
      <c r="AT20" s="19">
        <f t="shared" si="13"/>
        <v>2</v>
      </c>
      <c r="AU20" s="19">
        <f t="shared" si="11"/>
        <v>2</v>
      </c>
      <c r="AV20" s="19">
        <f t="shared" si="12"/>
        <v>2</v>
      </c>
      <c r="AW20" s="19">
        <f t="shared" si="4"/>
        <v>1</v>
      </c>
      <c r="AX20" s="19">
        <f t="shared" si="5"/>
        <v>6</v>
      </c>
      <c r="AY20" s="19">
        <f t="shared" si="6"/>
        <v>1</v>
      </c>
      <c r="AZ20" s="19">
        <f t="shared" si="7"/>
        <v>0</v>
      </c>
      <c r="BA20" s="19">
        <f t="shared" si="8"/>
        <v>2</v>
      </c>
      <c r="BB20" s="19">
        <f t="shared" si="9"/>
        <v>2</v>
      </c>
      <c r="BC20" s="15">
        <f t="shared" si="10"/>
        <v>29</v>
      </c>
      <c r="BD20" s="12"/>
      <c r="BE20" s="12"/>
      <c r="BF20" s="12"/>
      <c r="BG20" s="12"/>
      <c r="BH20" s="12"/>
    </row>
    <row r="21" spans="1:60" ht="28.5" customHeight="1">
      <c r="A21" s="186"/>
      <c r="B21" s="13">
        <v>17</v>
      </c>
      <c r="C21" s="13" t="s">
        <v>50</v>
      </c>
      <c r="D21" s="40">
        <v>5</v>
      </c>
      <c r="E21" s="41" t="s">
        <v>26</v>
      </c>
      <c r="F21" s="16" t="s">
        <v>23</v>
      </c>
      <c r="G21" s="83" t="s">
        <v>15</v>
      </c>
      <c r="H21" s="16" t="s">
        <v>16</v>
      </c>
      <c r="I21" s="16" t="s">
        <v>17</v>
      </c>
      <c r="J21" s="17"/>
      <c r="K21" s="42"/>
      <c r="L21" s="93" t="s">
        <v>25</v>
      </c>
      <c r="M21" s="28" t="s">
        <v>17</v>
      </c>
      <c r="N21" s="28" t="s">
        <v>26</v>
      </c>
      <c r="O21" s="16" t="s">
        <v>20</v>
      </c>
      <c r="P21" s="81" t="s">
        <v>23</v>
      </c>
      <c r="Q21" s="16" t="s">
        <v>19</v>
      </c>
      <c r="R21" s="43" t="s">
        <v>19</v>
      </c>
      <c r="S21" s="41" t="s">
        <v>15</v>
      </c>
      <c r="T21" s="16" t="s">
        <v>22</v>
      </c>
      <c r="U21" s="81" t="s">
        <v>21</v>
      </c>
      <c r="V21" s="16" t="s">
        <v>21</v>
      </c>
      <c r="W21" s="16" t="s">
        <v>18</v>
      </c>
      <c r="X21" s="17"/>
      <c r="Y21" s="42"/>
      <c r="Z21" s="41" t="s">
        <v>16</v>
      </c>
      <c r="AA21" s="16" t="s">
        <v>23</v>
      </c>
      <c r="AB21" s="81" t="s">
        <v>23</v>
      </c>
      <c r="AC21" s="16" t="s">
        <v>17</v>
      </c>
      <c r="AD21" s="16" t="s">
        <v>18</v>
      </c>
      <c r="AE21" s="17"/>
      <c r="AF21" s="42"/>
      <c r="AG21" s="41" t="s">
        <v>15</v>
      </c>
      <c r="AH21" s="16" t="s">
        <v>24</v>
      </c>
      <c r="AI21" s="16" t="s">
        <v>16</v>
      </c>
      <c r="AJ21" s="16" t="s">
        <v>20</v>
      </c>
      <c r="AK21" s="16" t="s">
        <v>27</v>
      </c>
      <c r="AL21" s="16" t="s">
        <v>27</v>
      </c>
      <c r="AM21" s="43" t="s">
        <v>23</v>
      </c>
      <c r="AN21" s="44"/>
      <c r="AO21" s="18"/>
      <c r="AP21" s="19">
        <f t="shared" si="0"/>
        <v>3</v>
      </c>
      <c r="AQ21" s="19">
        <f t="shared" si="1"/>
        <v>3</v>
      </c>
      <c r="AR21" s="19">
        <f t="shared" si="2"/>
        <v>3</v>
      </c>
      <c r="AS21" s="19">
        <f t="shared" si="3"/>
        <v>2</v>
      </c>
      <c r="AT21" s="19">
        <f t="shared" si="13"/>
        <v>2</v>
      </c>
      <c r="AU21" s="19">
        <f t="shared" si="11"/>
        <v>2</v>
      </c>
      <c r="AV21" s="19">
        <f t="shared" si="12"/>
        <v>2</v>
      </c>
      <c r="AW21" s="19">
        <f t="shared" si="4"/>
        <v>1</v>
      </c>
      <c r="AX21" s="19">
        <f t="shared" si="5"/>
        <v>5</v>
      </c>
      <c r="AY21" s="19">
        <f t="shared" si="6"/>
        <v>1</v>
      </c>
      <c r="AZ21" s="19">
        <f t="shared" si="7"/>
        <v>1</v>
      </c>
      <c r="BA21" s="19">
        <f t="shared" si="8"/>
        <v>2</v>
      </c>
      <c r="BB21" s="19">
        <f t="shared" si="9"/>
        <v>2</v>
      </c>
      <c r="BC21" s="15">
        <f t="shared" si="10"/>
        <v>29</v>
      </c>
      <c r="BD21" s="12"/>
      <c r="BE21" s="12"/>
      <c r="BF21" s="12"/>
      <c r="BG21" s="12"/>
      <c r="BH21" s="12"/>
    </row>
    <row r="22" spans="1:60" ht="28.5" customHeight="1">
      <c r="A22" s="134">
        <v>7</v>
      </c>
      <c r="B22" s="13">
        <v>18</v>
      </c>
      <c r="C22" s="13" t="s">
        <v>51</v>
      </c>
      <c r="D22" s="40">
        <v>5</v>
      </c>
      <c r="E22" s="41" t="s">
        <v>26</v>
      </c>
      <c r="F22" s="16" t="s">
        <v>23</v>
      </c>
      <c r="G22" s="16" t="s">
        <v>15</v>
      </c>
      <c r="H22" s="16" t="s">
        <v>16</v>
      </c>
      <c r="I22" s="81" t="s">
        <v>21</v>
      </c>
      <c r="J22" s="17"/>
      <c r="K22" s="42"/>
      <c r="L22" s="51" t="s">
        <v>23</v>
      </c>
      <c r="M22" s="28" t="s">
        <v>17</v>
      </c>
      <c r="N22" s="28" t="s">
        <v>26</v>
      </c>
      <c r="O22" s="16" t="s">
        <v>20</v>
      </c>
      <c r="P22" s="16" t="s">
        <v>15</v>
      </c>
      <c r="Q22" s="16" t="s">
        <v>19</v>
      </c>
      <c r="R22" s="43" t="s">
        <v>19</v>
      </c>
      <c r="S22" s="41" t="s">
        <v>15</v>
      </c>
      <c r="T22" s="16" t="s">
        <v>22</v>
      </c>
      <c r="U22" s="81" t="s">
        <v>21</v>
      </c>
      <c r="V22" s="16" t="s">
        <v>21</v>
      </c>
      <c r="W22" s="16" t="s">
        <v>18</v>
      </c>
      <c r="X22" s="17"/>
      <c r="Y22" s="42"/>
      <c r="Z22" s="41" t="s">
        <v>16</v>
      </c>
      <c r="AA22" s="16" t="s">
        <v>23</v>
      </c>
      <c r="AB22" s="16" t="s">
        <v>15</v>
      </c>
      <c r="AC22" s="16" t="s">
        <v>17</v>
      </c>
      <c r="AD22" s="16" t="s">
        <v>18</v>
      </c>
      <c r="AE22" s="17"/>
      <c r="AF22" s="42"/>
      <c r="AG22" s="82" t="s">
        <v>23</v>
      </c>
      <c r="AH22" s="16" t="s">
        <v>24</v>
      </c>
      <c r="AI22" s="81" t="s">
        <v>20</v>
      </c>
      <c r="AJ22" s="16" t="s">
        <v>20</v>
      </c>
      <c r="AK22" s="16" t="s">
        <v>27</v>
      </c>
      <c r="AL22" s="16" t="s">
        <v>27</v>
      </c>
      <c r="AM22" s="43" t="s">
        <v>23</v>
      </c>
      <c r="AN22" s="44"/>
      <c r="AO22" s="18"/>
      <c r="AP22" s="19">
        <f t="shared" si="0"/>
        <v>4</v>
      </c>
      <c r="AQ22" s="19">
        <f t="shared" si="1"/>
        <v>2</v>
      </c>
      <c r="AR22" s="19">
        <f t="shared" si="2"/>
        <v>2</v>
      </c>
      <c r="AS22" s="19">
        <f t="shared" si="3"/>
        <v>2</v>
      </c>
      <c r="AT22" s="19">
        <f t="shared" si="13"/>
        <v>2</v>
      </c>
      <c r="AU22" s="19">
        <f t="shared" si="11"/>
        <v>3</v>
      </c>
      <c r="AV22" s="19">
        <f t="shared" si="12"/>
        <v>3</v>
      </c>
      <c r="AW22" s="19">
        <f t="shared" si="4"/>
        <v>1</v>
      </c>
      <c r="AX22" s="19">
        <f t="shared" si="5"/>
        <v>5</v>
      </c>
      <c r="AY22" s="19">
        <f t="shared" si="6"/>
        <v>1</v>
      </c>
      <c r="AZ22" s="19">
        <f t="shared" si="7"/>
        <v>0</v>
      </c>
      <c r="BA22" s="19">
        <f t="shared" si="8"/>
        <v>2</v>
      </c>
      <c r="BB22" s="19">
        <f t="shared" si="9"/>
        <v>2</v>
      </c>
      <c r="BC22" s="15">
        <f t="shared" si="10"/>
        <v>29</v>
      </c>
      <c r="BD22" s="12"/>
      <c r="BE22" s="12"/>
      <c r="BF22" s="12"/>
      <c r="BG22" s="12"/>
      <c r="BH22" s="12"/>
    </row>
    <row r="23" spans="1:60" ht="28.5" customHeight="1">
      <c r="A23" s="185"/>
      <c r="B23" s="13">
        <v>19</v>
      </c>
      <c r="C23" s="20" t="s">
        <v>52</v>
      </c>
      <c r="D23" s="40">
        <v>5</v>
      </c>
      <c r="E23" s="41" t="s">
        <v>26</v>
      </c>
      <c r="F23" s="16" t="s">
        <v>23</v>
      </c>
      <c r="G23" s="81" t="s">
        <v>23</v>
      </c>
      <c r="H23" s="81" t="s">
        <v>20</v>
      </c>
      <c r="I23" s="81" t="s">
        <v>21</v>
      </c>
      <c r="J23" s="17"/>
      <c r="K23" s="42"/>
      <c r="L23" s="51" t="s">
        <v>23</v>
      </c>
      <c r="M23" s="28" t="s">
        <v>17</v>
      </c>
      <c r="N23" s="28" t="s">
        <v>26</v>
      </c>
      <c r="O23" s="16" t="s">
        <v>20</v>
      </c>
      <c r="P23" s="81" t="s">
        <v>23</v>
      </c>
      <c r="Q23" s="16" t="s">
        <v>19</v>
      </c>
      <c r="R23" s="43" t="s">
        <v>19</v>
      </c>
      <c r="S23" s="41" t="s">
        <v>15</v>
      </c>
      <c r="T23" s="16" t="s">
        <v>22</v>
      </c>
      <c r="U23" s="81" t="s">
        <v>21</v>
      </c>
      <c r="V23" s="16" t="s">
        <v>21</v>
      </c>
      <c r="W23" s="16" t="s">
        <v>18</v>
      </c>
      <c r="X23" s="17"/>
      <c r="Y23" s="42"/>
      <c r="Z23" s="41" t="s">
        <v>16</v>
      </c>
      <c r="AA23" s="16" t="s">
        <v>23</v>
      </c>
      <c r="AB23" s="81" t="s">
        <v>23</v>
      </c>
      <c r="AC23" s="81" t="s">
        <v>26</v>
      </c>
      <c r="AD23" s="81" t="s">
        <v>27</v>
      </c>
      <c r="AE23" s="17"/>
      <c r="AF23" s="42"/>
      <c r="AG23" s="41" t="s">
        <v>15</v>
      </c>
      <c r="AH23" s="81" t="s">
        <v>26</v>
      </c>
      <c r="AI23" s="81" t="s">
        <v>20</v>
      </c>
      <c r="AJ23" s="16" t="s">
        <v>20</v>
      </c>
      <c r="AK23" s="16" t="s">
        <v>27</v>
      </c>
      <c r="AL23" s="16" t="s">
        <v>27</v>
      </c>
      <c r="AM23" s="43" t="s">
        <v>23</v>
      </c>
      <c r="AN23" s="44"/>
      <c r="AO23" s="18"/>
      <c r="AP23" s="19">
        <f t="shared" si="0"/>
        <v>2</v>
      </c>
      <c r="AQ23" s="19">
        <f t="shared" si="1"/>
        <v>1</v>
      </c>
      <c r="AR23" s="19">
        <f t="shared" si="2"/>
        <v>1</v>
      </c>
      <c r="AS23" s="19">
        <f t="shared" si="3"/>
        <v>1</v>
      </c>
      <c r="AT23" s="19">
        <f t="shared" si="13"/>
        <v>2</v>
      </c>
      <c r="AU23" s="19">
        <f t="shared" si="11"/>
        <v>4</v>
      </c>
      <c r="AV23" s="19">
        <f t="shared" si="12"/>
        <v>3</v>
      </c>
      <c r="AW23" s="19">
        <f t="shared" si="4"/>
        <v>1</v>
      </c>
      <c r="AX23" s="19">
        <f t="shared" si="5"/>
        <v>7</v>
      </c>
      <c r="AY23" s="19">
        <f t="shared" si="6"/>
        <v>0</v>
      </c>
      <c r="AZ23" s="19">
        <f t="shared" si="7"/>
        <v>0</v>
      </c>
      <c r="BA23" s="19">
        <f t="shared" si="8"/>
        <v>4</v>
      </c>
      <c r="BB23" s="19">
        <f t="shared" si="9"/>
        <v>3</v>
      </c>
      <c r="BC23" s="15">
        <f t="shared" si="10"/>
        <v>29</v>
      </c>
      <c r="BD23" s="12"/>
      <c r="BE23" s="12"/>
      <c r="BF23" s="12"/>
      <c r="BG23" s="12"/>
      <c r="BH23" s="12"/>
    </row>
    <row r="24" spans="1:60" ht="28.5" customHeight="1">
      <c r="A24" s="185"/>
      <c r="B24" s="13">
        <v>20</v>
      </c>
      <c r="C24" s="20" t="s">
        <v>53</v>
      </c>
      <c r="D24" s="40">
        <v>4</v>
      </c>
      <c r="E24" s="41" t="s">
        <v>26</v>
      </c>
      <c r="F24" s="16" t="s">
        <v>23</v>
      </c>
      <c r="G24" s="16" t="s">
        <v>15</v>
      </c>
      <c r="H24" s="81" t="s">
        <v>20</v>
      </c>
      <c r="I24" s="81" t="s">
        <v>21</v>
      </c>
      <c r="J24" s="17"/>
      <c r="K24" s="42"/>
      <c r="L24" s="51" t="s">
        <v>23</v>
      </c>
      <c r="M24" s="28" t="s">
        <v>17</v>
      </c>
      <c r="N24" s="28" t="s">
        <v>26</v>
      </c>
      <c r="O24" s="16" t="s">
        <v>20</v>
      </c>
      <c r="P24" s="16" t="s">
        <v>15</v>
      </c>
      <c r="Q24" s="81" t="s">
        <v>23</v>
      </c>
      <c r="R24" s="43" t="s">
        <v>19</v>
      </c>
      <c r="S24" s="41" t="s">
        <v>15</v>
      </c>
      <c r="T24" s="16" t="s">
        <v>22</v>
      </c>
      <c r="U24" s="81" t="s">
        <v>21</v>
      </c>
      <c r="V24" s="16" t="s">
        <v>21</v>
      </c>
      <c r="W24" s="81" t="s">
        <v>27</v>
      </c>
      <c r="X24" s="17"/>
      <c r="Y24" s="42"/>
      <c r="Z24" s="82" t="s">
        <v>20</v>
      </c>
      <c r="AA24" s="16" t="s">
        <v>23</v>
      </c>
      <c r="AB24" s="81" t="s">
        <v>23</v>
      </c>
      <c r="AC24" s="81" t="s">
        <v>26</v>
      </c>
      <c r="AD24" s="81" t="s">
        <v>27</v>
      </c>
      <c r="AE24" s="17"/>
      <c r="AF24" s="42"/>
      <c r="AG24" s="135" t="s">
        <v>54</v>
      </c>
      <c r="AH24" s="187"/>
      <c r="AI24" s="187"/>
      <c r="AJ24" s="187"/>
      <c r="AK24" s="187"/>
      <c r="AL24" s="187"/>
      <c r="AM24" s="188"/>
      <c r="AN24" s="44"/>
      <c r="AO24" s="18"/>
      <c r="AP24" s="19">
        <f t="shared" si="0"/>
        <v>3</v>
      </c>
      <c r="AQ24" s="19">
        <f t="shared" si="1"/>
        <v>0</v>
      </c>
      <c r="AR24" s="19">
        <f t="shared" si="2"/>
        <v>1</v>
      </c>
      <c r="AS24" s="19">
        <f t="shared" si="3"/>
        <v>0</v>
      </c>
      <c r="AT24" s="19">
        <f t="shared" si="13"/>
        <v>1</v>
      </c>
      <c r="AU24" s="19">
        <f t="shared" si="11"/>
        <v>3</v>
      </c>
      <c r="AV24" s="19">
        <f t="shared" si="12"/>
        <v>3</v>
      </c>
      <c r="AW24" s="19">
        <f t="shared" si="4"/>
        <v>1</v>
      </c>
      <c r="AX24" s="19">
        <f t="shared" si="5"/>
        <v>5</v>
      </c>
      <c r="AY24" s="19">
        <f t="shared" si="6"/>
        <v>0</v>
      </c>
      <c r="AZ24" s="19">
        <f t="shared" si="7"/>
        <v>0</v>
      </c>
      <c r="BA24" s="19">
        <f t="shared" si="8"/>
        <v>3</v>
      </c>
      <c r="BB24" s="19">
        <f t="shared" si="9"/>
        <v>2</v>
      </c>
      <c r="BC24" s="15">
        <f t="shared" si="10"/>
        <v>22</v>
      </c>
      <c r="BD24" s="12"/>
      <c r="BE24" s="12"/>
      <c r="BF24" s="12"/>
      <c r="BG24" s="12"/>
      <c r="BH24" s="12"/>
    </row>
    <row r="25" spans="1:60" ht="28.5" customHeight="1">
      <c r="A25" s="185"/>
      <c r="B25" s="30">
        <v>21</v>
      </c>
      <c r="C25" s="55" t="s">
        <v>55</v>
      </c>
      <c r="D25" s="73">
        <v>5</v>
      </c>
      <c r="E25" s="41" t="s">
        <v>26</v>
      </c>
      <c r="F25" s="16" t="s">
        <v>23</v>
      </c>
      <c r="G25" s="81" t="s">
        <v>23</v>
      </c>
      <c r="H25" s="16" t="s">
        <v>16</v>
      </c>
      <c r="I25" s="81" t="s">
        <v>21</v>
      </c>
      <c r="J25" s="27"/>
      <c r="K25" s="60"/>
      <c r="L25" s="51" t="s">
        <v>23</v>
      </c>
      <c r="M25" s="84" t="s">
        <v>26</v>
      </c>
      <c r="N25" s="28" t="s">
        <v>26</v>
      </c>
      <c r="O25" s="16" t="s">
        <v>20</v>
      </c>
      <c r="P25" s="81" t="s">
        <v>23</v>
      </c>
      <c r="Q25" s="81" t="s">
        <v>23</v>
      </c>
      <c r="R25" s="43" t="s">
        <v>19</v>
      </c>
      <c r="S25" s="41" t="s">
        <v>15</v>
      </c>
      <c r="T25" s="16" t="s">
        <v>22</v>
      </c>
      <c r="U25" s="81" t="s">
        <v>21</v>
      </c>
      <c r="V25" s="16" t="s">
        <v>21</v>
      </c>
      <c r="W25" s="81" t="s">
        <v>27</v>
      </c>
      <c r="X25" s="27"/>
      <c r="Y25" s="60"/>
      <c r="Z25" s="82" t="s">
        <v>20</v>
      </c>
      <c r="AA25" s="16" t="s">
        <v>23</v>
      </c>
      <c r="AB25" s="81" t="s">
        <v>23</v>
      </c>
      <c r="AC25" s="81" t="s">
        <v>26</v>
      </c>
      <c r="AD25" s="81" t="s">
        <v>27</v>
      </c>
      <c r="AE25" s="27"/>
      <c r="AF25" s="60"/>
      <c r="AG25" s="41" t="s">
        <v>15</v>
      </c>
      <c r="AH25" s="81" t="s">
        <v>23</v>
      </c>
      <c r="AI25" s="81" t="s">
        <v>26</v>
      </c>
      <c r="AJ25" s="16" t="s">
        <v>20</v>
      </c>
      <c r="AK25" s="136" t="s">
        <v>56</v>
      </c>
      <c r="AL25" s="137"/>
      <c r="AM25" s="138"/>
      <c r="AN25" s="66"/>
      <c r="AO25" s="18"/>
      <c r="AP25" s="19">
        <f t="shared" si="0"/>
        <v>2</v>
      </c>
      <c r="AQ25" s="19">
        <f t="shared" si="1"/>
        <v>1</v>
      </c>
      <c r="AR25" s="19">
        <f t="shared" si="2"/>
        <v>0</v>
      </c>
      <c r="AS25" s="19">
        <f t="shared" si="3"/>
        <v>0</v>
      </c>
      <c r="AT25" s="19">
        <f t="shared" si="13"/>
        <v>1</v>
      </c>
      <c r="AU25" s="19">
        <f t="shared" si="11"/>
        <v>3</v>
      </c>
      <c r="AV25" s="19">
        <f t="shared" si="12"/>
        <v>3</v>
      </c>
      <c r="AW25" s="19">
        <f t="shared" si="4"/>
        <v>1</v>
      </c>
      <c r="AX25" s="19">
        <f t="shared" si="5"/>
        <v>8</v>
      </c>
      <c r="AY25" s="19">
        <f t="shared" si="6"/>
        <v>0</v>
      </c>
      <c r="AZ25" s="19">
        <f t="shared" si="7"/>
        <v>0</v>
      </c>
      <c r="BA25" s="19">
        <f t="shared" si="8"/>
        <v>5</v>
      </c>
      <c r="BB25" s="19">
        <f t="shared" si="9"/>
        <v>2</v>
      </c>
      <c r="BC25" s="15">
        <f t="shared" si="10"/>
        <v>26</v>
      </c>
      <c r="BD25" s="12"/>
      <c r="BE25" s="12"/>
      <c r="BF25" s="12"/>
      <c r="BG25" s="12"/>
      <c r="BH25" s="12"/>
    </row>
    <row r="26" spans="1:60" ht="31.5" customHeight="1">
      <c r="A26" s="139" t="s">
        <v>57</v>
      </c>
      <c r="B26" s="189"/>
      <c r="C26" s="190"/>
      <c r="D26" s="74">
        <f>SUM(D5:D25)</f>
        <v>98</v>
      </c>
      <c r="E26" s="139">
        <v>18</v>
      </c>
      <c r="F26" s="189"/>
      <c r="G26" s="189"/>
      <c r="H26" s="189"/>
      <c r="I26" s="189"/>
      <c r="J26" s="189"/>
      <c r="K26" s="191"/>
      <c r="L26" s="139">
        <v>20</v>
      </c>
      <c r="M26" s="189"/>
      <c r="N26" s="189"/>
      <c r="O26" s="189"/>
      <c r="P26" s="189"/>
      <c r="Q26" s="189"/>
      <c r="R26" s="191"/>
      <c r="S26" s="139">
        <v>20</v>
      </c>
      <c r="T26" s="189"/>
      <c r="U26" s="189"/>
      <c r="V26" s="189"/>
      <c r="W26" s="189"/>
      <c r="X26" s="189"/>
      <c r="Y26" s="191"/>
      <c r="Z26" s="139">
        <v>21</v>
      </c>
      <c r="AA26" s="189"/>
      <c r="AB26" s="189"/>
      <c r="AC26" s="189"/>
      <c r="AD26" s="189"/>
      <c r="AE26" s="189"/>
      <c r="AF26" s="191"/>
      <c r="AG26" s="139">
        <v>19</v>
      </c>
      <c r="AH26" s="189"/>
      <c r="AI26" s="189"/>
      <c r="AJ26" s="189"/>
      <c r="AK26" s="189"/>
      <c r="AL26" s="189"/>
      <c r="AM26" s="191"/>
      <c r="AN26" s="75">
        <f>SUM(E26:AM26)</f>
        <v>98</v>
      </c>
      <c r="AO26" s="21"/>
      <c r="AP26" s="15">
        <f t="shared" ref="AP26:BB26" si="14">SUM(AP5:AP25)</f>
        <v>85</v>
      </c>
      <c r="AQ26" s="15">
        <f t="shared" si="14"/>
        <v>51</v>
      </c>
      <c r="AR26" s="15">
        <f t="shared" si="14"/>
        <v>51</v>
      </c>
      <c r="AS26" s="15">
        <f t="shared" si="14"/>
        <v>36</v>
      </c>
      <c r="AT26" s="15">
        <f t="shared" si="14"/>
        <v>36</v>
      </c>
      <c r="AU26" s="15">
        <f t="shared" si="14"/>
        <v>44</v>
      </c>
      <c r="AV26" s="15">
        <f t="shared" si="14"/>
        <v>30</v>
      </c>
      <c r="AW26" s="15">
        <f t="shared" si="14"/>
        <v>32</v>
      </c>
      <c r="AX26" s="15">
        <f t="shared" si="14"/>
        <v>88</v>
      </c>
      <c r="AY26" s="15">
        <f t="shared" si="14"/>
        <v>17</v>
      </c>
      <c r="AZ26" s="15">
        <f t="shared" si="14"/>
        <v>4</v>
      </c>
      <c r="BA26" s="15">
        <f t="shared" si="14"/>
        <v>44</v>
      </c>
      <c r="BB26" s="15">
        <f t="shared" si="14"/>
        <v>43</v>
      </c>
      <c r="BC26" s="15">
        <f t="shared" si="10"/>
        <v>561</v>
      </c>
      <c r="BD26" s="12"/>
      <c r="BE26" s="12"/>
      <c r="BF26" s="12"/>
      <c r="BG26" s="12"/>
      <c r="BH26" s="12"/>
    </row>
    <row r="27" spans="1:60" ht="12.75" customHeight="1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22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11"/>
      <c r="BC27" s="12"/>
      <c r="BD27" s="12"/>
      <c r="BE27" s="12"/>
      <c r="BF27" s="12"/>
      <c r="BG27" s="12"/>
    </row>
    <row r="28" spans="1:60" ht="28.5" customHeight="1">
      <c r="A28" s="121" t="s">
        <v>3</v>
      </c>
      <c r="B28" s="122" t="s">
        <v>4</v>
      </c>
      <c r="C28" s="122" t="s">
        <v>5</v>
      </c>
      <c r="D28" s="123" t="s">
        <v>6</v>
      </c>
      <c r="E28" s="124" t="s">
        <v>7</v>
      </c>
      <c r="F28" s="176"/>
      <c r="G28" s="176"/>
      <c r="H28" s="176"/>
      <c r="I28" s="176"/>
      <c r="J28" s="176"/>
      <c r="K28" s="177"/>
      <c r="L28" s="124" t="s">
        <v>8</v>
      </c>
      <c r="M28" s="176"/>
      <c r="N28" s="176"/>
      <c r="O28" s="176"/>
      <c r="P28" s="176"/>
      <c r="Q28" s="176"/>
      <c r="R28" s="177"/>
      <c r="S28" s="124" t="s">
        <v>9</v>
      </c>
      <c r="T28" s="176"/>
      <c r="U28" s="176"/>
      <c r="V28" s="176"/>
      <c r="W28" s="176"/>
      <c r="X28" s="176"/>
      <c r="Y28" s="177"/>
      <c r="Z28" s="124" t="s">
        <v>10</v>
      </c>
      <c r="AA28" s="176"/>
      <c r="AB28" s="176"/>
      <c r="AC28" s="176"/>
      <c r="AD28" s="176"/>
      <c r="AE28" s="176"/>
      <c r="AF28" s="177"/>
      <c r="AG28" s="124" t="s">
        <v>11</v>
      </c>
      <c r="AH28" s="176"/>
      <c r="AI28" s="176"/>
      <c r="AJ28" s="176"/>
      <c r="AK28" s="176"/>
      <c r="AL28" s="176"/>
      <c r="AM28" s="177"/>
      <c r="AN28" s="125" t="s">
        <v>12</v>
      </c>
      <c r="AO28" s="126"/>
      <c r="AP28" s="10"/>
      <c r="AQ28" s="10"/>
      <c r="AR28" s="10"/>
      <c r="AS28" s="10"/>
      <c r="AT28" s="10"/>
      <c r="AU28" s="10"/>
      <c r="AV28" s="10"/>
      <c r="AW28" s="12"/>
      <c r="AX28" s="127" t="s">
        <v>13</v>
      </c>
      <c r="AY28" s="178"/>
      <c r="AZ28" s="178"/>
      <c r="BA28" s="128" t="s">
        <v>14</v>
      </c>
      <c r="BB28" s="178"/>
      <c r="BC28" s="12"/>
      <c r="BD28" s="12"/>
      <c r="BE28" s="12"/>
      <c r="BF28" s="12"/>
      <c r="BG28" s="12"/>
    </row>
    <row r="29" spans="1:60" ht="28.5" customHeight="1">
      <c r="A29" s="179"/>
      <c r="B29" s="180"/>
      <c r="C29" s="180"/>
      <c r="D29" s="181"/>
      <c r="E29" s="46">
        <v>1</v>
      </c>
      <c r="F29" s="47">
        <v>2</v>
      </c>
      <c r="G29" s="47">
        <v>3</v>
      </c>
      <c r="H29" s="47">
        <v>4</v>
      </c>
      <c r="I29" s="47">
        <v>5</v>
      </c>
      <c r="J29" s="47">
        <v>6</v>
      </c>
      <c r="K29" s="48">
        <v>7</v>
      </c>
      <c r="L29" s="46">
        <v>1</v>
      </c>
      <c r="M29" s="47">
        <v>2</v>
      </c>
      <c r="N29" s="47">
        <v>3</v>
      </c>
      <c r="O29" s="47">
        <v>4</v>
      </c>
      <c r="P29" s="47">
        <v>5</v>
      </c>
      <c r="Q29" s="47">
        <v>6</v>
      </c>
      <c r="R29" s="48">
        <v>7</v>
      </c>
      <c r="S29" s="46">
        <v>1</v>
      </c>
      <c r="T29" s="47">
        <v>2</v>
      </c>
      <c r="U29" s="47">
        <v>3</v>
      </c>
      <c r="V29" s="47">
        <v>4</v>
      </c>
      <c r="W29" s="47">
        <v>5</v>
      </c>
      <c r="X29" s="47">
        <v>6</v>
      </c>
      <c r="Y29" s="48">
        <v>7</v>
      </c>
      <c r="Z29" s="46">
        <v>1</v>
      </c>
      <c r="AA29" s="47">
        <v>2</v>
      </c>
      <c r="AB29" s="47">
        <v>3</v>
      </c>
      <c r="AC29" s="47">
        <v>4</v>
      </c>
      <c r="AD29" s="47">
        <v>5</v>
      </c>
      <c r="AE29" s="47">
        <v>6</v>
      </c>
      <c r="AF29" s="48">
        <v>7</v>
      </c>
      <c r="AG29" s="46">
        <v>1</v>
      </c>
      <c r="AH29" s="47">
        <v>2</v>
      </c>
      <c r="AI29" s="47">
        <v>3</v>
      </c>
      <c r="AJ29" s="47">
        <v>4</v>
      </c>
      <c r="AK29" s="47">
        <v>5</v>
      </c>
      <c r="AL29" s="47">
        <v>6</v>
      </c>
      <c r="AM29" s="48">
        <v>7</v>
      </c>
      <c r="AN29" s="182"/>
      <c r="AO29" s="126"/>
      <c r="AP29" s="14" t="s">
        <v>15</v>
      </c>
      <c r="AQ29" s="14" t="s">
        <v>16</v>
      </c>
      <c r="AR29" s="14" t="s">
        <v>17</v>
      </c>
      <c r="AS29" s="14" t="s">
        <v>18</v>
      </c>
      <c r="AT29" s="14" t="s">
        <v>19</v>
      </c>
      <c r="AU29" s="14" t="s">
        <v>20</v>
      </c>
      <c r="AV29" s="34" t="s">
        <v>21</v>
      </c>
      <c r="AW29" s="36" t="s">
        <v>22</v>
      </c>
      <c r="AX29" s="37" t="s">
        <v>23</v>
      </c>
      <c r="AY29" s="35" t="s">
        <v>24</v>
      </c>
      <c r="AZ29" s="35" t="s">
        <v>25</v>
      </c>
      <c r="BA29" s="35" t="s">
        <v>26</v>
      </c>
      <c r="BB29" s="35" t="s">
        <v>27</v>
      </c>
      <c r="BC29" s="15" t="s">
        <v>28</v>
      </c>
      <c r="BD29" s="12"/>
      <c r="BE29" s="12"/>
      <c r="BF29" s="12"/>
      <c r="BG29" s="12"/>
      <c r="BH29" s="12"/>
    </row>
    <row r="30" spans="1:60" ht="28.5" customHeight="1">
      <c r="A30" s="129">
        <v>8</v>
      </c>
      <c r="B30" s="69">
        <v>22</v>
      </c>
      <c r="C30" s="49" t="s">
        <v>58</v>
      </c>
      <c r="D30" s="70">
        <v>4</v>
      </c>
      <c r="E30" s="41"/>
      <c r="F30" s="16"/>
      <c r="G30" s="16"/>
      <c r="H30" s="16"/>
      <c r="I30" s="16"/>
      <c r="J30" s="29"/>
      <c r="K30" s="52"/>
      <c r="L30" s="51" t="s">
        <v>23</v>
      </c>
      <c r="M30" s="84" t="s">
        <v>26</v>
      </c>
      <c r="N30" s="84" t="s">
        <v>17</v>
      </c>
      <c r="O30" s="28" t="s">
        <v>20</v>
      </c>
      <c r="P30" s="131" t="s">
        <v>59</v>
      </c>
      <c r="Q30" s="132"/>
      <c r="R30" s="133"/>
      <c r="S30" s="41" t="s">
        <v>15</v>
      </c>
      <c r="T30" s="16" t="s">
        <v>22</v>
      </c>
      <c r="U30" s="16" t="s">
        <v>21</v>
      </c>
      <c r="V30" s="16" t="s">
        <v>21</v>
      </c>
      <c r="W30" s="81" t="s">
        <v>18</v>
      </c>
      <c r="X30" s="29"/>
      <c r="Y30" s="52"/>
      <c r="Z30" s="41" t="s">
        <v>16</v>
      </c>
      <c r="AA30" s="16" t="s">
        <v>23</v>
      </c>
      <c r="AB30" s="16" t="s">
        <v>15</v>
      </c>
      <c r="AC30" s="16" t="s">
        <v>17</v>
      </c>
      <c r="AD30" s="16" t="s">
        <v>18</v>
      </c>
      <c r="AE30" s="29"/>
      <c r="AF30" s="52"/>
      <c r="AG30" s="51" t="s">
        <v>15</v>
      </c>
      <c r="AH30" s="28" t="s">
        <v>24</v>
      </c>
      <c r="AI30" s="28" t="s">
        <v>16</v>
      </c>
      <c r="AJ30" s="28" t="s">
        <v>20</v>
      </c>
      <c r="AK30" s="28" t="s">
        <v>27</v>
      </c>
      <c r="AL30" s="28" t="s">
        <v>27</v>
      </c>
      <c r="AM30" s="53" t="s">
        <v>23</v>
      </c>
      <c r="AN30" s="72"/>
      <c r="AO30" s="24"/>
      <c r="AP30" s="19">
        <f t="shared" ref="AP30:AP50" si="15">COUNTIF(E30:AM30,"=국")</f>
        <v>3</v>
      </c>
      <c r="AQ30" s="19">
        <f t="shared" ref="AQ30:AQ50" si="16">COUNTIF(E30:AM30,"=수")</f>
        <v>2</v>
      </c>
      <c r="AR30" s="19">
        <f t="shared" ref="AR30:AR50" si="17">COUNTIF(E30:AM30,"=사")</f>
        <v>2</v>
      </c>
      <c r="AS30" s="19">
        <f t="shared" ref="AS30:AS50" si="18">COUNTIF(E30:AM30,"=과")</f>
        <v>2</v>
      </c>
      <c r="AT30" s="19">
        <f>COUNTIF(D30:AL30,"=실")</f>
        <v>0</v>
      </c>
      <c r="AU30" s="19">
        <f t="shared" ref="AU30:AU50" si="19">COUNTIF(E30:AM30,"=체")</f>
        <v>2</v>
      </c>
      <c r="AV30" s="19">
        <f t="shared" ref="AV30:AV50" si="20">COUNTIF(E30:AM30,"=음")</f>
        <v>2</v>
      </c>
      <c r="AW30" s="38">
        <f t="shared" ref="AW30:AW50" si="21">COUNTIF(E30:AM30,"=미")</f>
        <v>1</v>
      </c>
      <c r="AX30" s="19">
        <f t="shared" ref="AX30:AX50" si="22">COUNTIF(E30:AM30,"=자")</f>
        <v>3</v>
      </c>
      <c r="AY30" s="19">
        <f t="shared" ref="AY30:AY50" si="23">COUNTIF(E30:AM30,"=동")</f>
        <v>1</v>
      </c>
      <c r="AZ30" s="19">
        <f t="shared" ref="AZ30:AZ50" si="24">COUNTIF(E30:AM30,"=진")</f>
        <v>0</v>
      </c>
      <c r="BA30" s="19">
        <f t="shared" ref="BA30:BA50" si="25">COUNTIF(E30:AM30,"=의")</f>
        <v>1</v>
      </c>
      <c r="BB30" s="19">
        <f t="shared" ref="BB30:BB50" si="26">COUNTIF(E30:AM30,"=선")</f>
        <v>2</v>
      </c>
      <c r="BC30" s="15">
        <f t="shared" ref="BC30:BC51" si="27">SUM(AP30:BB30)</f>
        <v>21</v>
      </c>
      <c r="BD30" s="12"/>
      <c r="BE30" s="12"/>
      <c r="BF30" s="12"/>
      <c r="BG30" s="12"/>
      <c r="BH30" s="12"/>
    </row>
    <row r="31" spans="1:60" ht="28.5" customHeight="1">
      <c r="A31" s="129"/>
      <c r="B31" s="20">
        <v>23</v>
      </c>
      <c r="C31" s="13" t="s">
        <v>60</v>
      </c>
      <c r="D31" s="56">
        <v>5</v>
      </c>
      <c r="E31" s="41" t="s">
        <v>26</v>
      </c>
      <c r="F31" s="16" t="s">
        <v>23</v>
      </c>
      <c r="G31" s="16" t="s">
        <v>15</v>
      </c>
      <c r="H31" s="16" t="s">
        <v>16</v>
      </c>
      <c r="I31" s="16" t="s">
        <v>17</v>
      </c>
      <c r="J31" s="17"/>
      <c r="K31" s="42"/>
      <c r="L31" s="51" t="s">
        <v>23</v>
      </c>
      <c r="M31" s="28" t="s">
        <v>17</v>
      </c>
      <c r="N31" s="28" t="s">
        <v>26</v>
      </c>
      <c r="O31" s="16" t="s">
        <v>20</v>
      </c>
      <c r="P31" s="16" t="s">
        <v>15</v>
      </c>
      <c r="Q31" s="16" t="s">
        <v>19</v>
      </c>
      <c r="R31" s="43" t="s">
        <v>19</v>
      </c>
      <c r="S31" s="41" t="s">
        <v>15</v>
      </c>
      <c r="T31" s="16" t="s">
        <v>22</v>
      </c>
      <c r="U31" s="16" t="s">
        <v>21</v>
      </c>
      <c r="V31" s="16" t="s">
        <v>21</v>
      </c>
      <c r="W31" s="16" t="s">
        <v>18</v>
      </c>
      <c r="X31" s="17"/>
      <c r="Y31" s="42"/>
      <c r="Z31" s="41" t="s">
        <v>16</v>
      </c>
      <c r="AA31" s="16" t="s">
        <v>23</v>
      </c>
      <c r="AB31" s="16" t="s">
        <v>15</v>
      </c>
      <c r="AC31" s="16" t="s">
        <v>17</v>
      </c>
      <c r="AD31" s="16" t="s">
        <v>18</v>
      </c>
      <c r="AE31" s="17"/>
      <c r="AF31" s="42"/>
      <c r="AG31" s="51" t="s">
        <v>15</v>
      </c>
      <c r="AH31" s="28" t="s">
        <v>24</v>
      </c>
      <c r="AI31" s="28" t="s">
        <v>16</v>
      </c>
      <c r="AJ31" s="28" t="s">
        <v>20</v>
      </c>
      <c r="AK31" s="28" t="s">
        <v>27</v>
      </c>
      <c r="AL31" s="28" t="s">
        <v>27</v>
      </c>
      <c r="AM31" s="53" t="s">
        <v>23</v>
      </c>
      <c r="AN31" s="44"/>
      <c r="AO31" s="24"/>
      <c r="AP31" s="19">
        <f t="shared" si="15"/>
        <v>5</v>
      </c>
      <c r="AQ31" s="19">
        <f t="shared" si="16"/>
        <v>3</v>
      </c>
      <c r="AR31" s="19">
        <f t="shared" si="17"/>
        <v>3</v>
      </c>
      <c r="AS31" s="19">
        <f t="shared" si="18"/>
        <v>2</v>
      </c>
      <c r="AT31" s="19">
        <f t="shared" ref="AT31:AT50" si="28">COUNTIF(D31:AL31,"=실")</f>
        <v>2</v>
      </c>
      <c r="AU31" s="19">
        <f t="shared" si="19"/>
        <v>2</v>
      </c>
      <c r="AV31" s="19">
        <f t="shared" si="20"/>
        <v>2</v>
      </c>
      <c r="AW31" s="19">
        <f t="shared" si="21"/>
        <v>1</v>
      </c>
      <c r="AX31" s="19">
        <f t="shared" si="22"/>
        <v>4</v>
      </c>
      <c r="AY31" s="19">
        <f t="shared" si="23"/>
        <v>1</v>
      </c>
      <c r="AZ31" s="19">
        <f t="shared" si="24"/>
        <v>0</v>
      </c>
      <c r="BA31" s="19">
        <f t="shared" si="25"/>
        <v>2</v>
      </c>
      <c r="BB31" s="19">
        <f t="shared" si="26"/>
        <v>2</v>
      </c>
      <c r="BC31" s="15">
        <f t="shared" si="27"/>
        <v>29</v>
      </c>
      <c r="BD31" s="12"/>
      <c r="BE31" s="12"/>
      <c r="BF31" s="12"/>
      <c r="BG31" s="12"/>
      <c r="BH31" s="12"/>
    </row>
    <row r="32" spans="1:60" ht="28.5" customHeight="1">
      <c r="A32" s="140">
        <v>9</v>
      </c>
      <c r="B32" s="20">
        <v>24</v>
      </c>
      <c r="C32" s="13" t="s">
        <v>61</v>
      </c>
      <c r="D32" s="56">
        <v>5</v>
      </c>
      <c r="E32" s="41" t="s">
        <v>26</v>
      </c>
      <c r="F32" s="16" t="s">
        <v>23</v>
      </c>
      <c r="G32" s="16" t="s">
        <v>15</v>
      </c>
      <c r="H32" s="16" t="s">
        <v>16</v>
      </c>
      <c r="I32" s="16" t="s">
        <v>17</v>
      </c>
      <c r="J32" s="17"/>
      <c r="K32" s="42"/>
      <c r="L32" s="51" t="s">
        <v>23</v>
      </c>
      <c r="M32" s="28" t="s">
        <v>17</v>
      </c>
      <c r="N32" s="28" t="s">
        <v>26</v>
      </c>
      <c r="O32" s="16" t="s">
        <v>20</v>
      </c>
      <c r="P32" s="16" t="s">
        <v>15</v>
      </c>
      <c r="Q32" s="16" t="s">
        <v>19</v>
      </c>
      <c r="R32" s="43" t="s">
        <v>19</v>
      </c>
      <c r="S32" s="41" t="s">
        <v>15</v>
      </c>
      <c r="T32" s="16" t="s">
        <v>22</v>
      </c>
      <c r="U32" s="16" t="s">
        <v>21</v>
      </c>
      <c r="V32" s="16" t="s">
        <v>21</v>
      </c>
      <c r="W32" s="16" t="s">
        <v>18</v>
      </c>
      <c r="X32" s="17"/>
      <c r="Y32" s="42"/>
      <c r="Z32" s="41" t="s">
        <v>16</v>
      </c>
      <c r="AA32" s="16" t="s">
        <v>23</v>
      </c>
      <c r="AB32" s="16" t="s">
        <v>15</v>
      </c>
      <c r="AC32" s="16" t="s">
        <v>17</v>
      </c>
      <c r="AD32" s="16" t="s">
        <v>18</v>
      </c>
      <c r="AE32" s="17"/>
      <c r="AF32" s="42"/>
      <c r="AG32" s="51" t="s">
        <v>15</v>
      </c>
      <c r="AH32" s="28" t="s">
        <v>24</v>
      </c>
      <c r="AI32" s="28" t="s">
        <v>16</v>
      </c>
      <c r="AJ32" s="28" t="s">
        <v>20</v>
      </c>
      <c r="AK32" s="28" t="s">
        <v>27</v>
      </c>
      <c r="AL32" s="28" t="s">
        <v>27</v>
      </c>
      <c r="AM32" s="53" t="s">
        <v>23</v>
      </c>
      <c r="AN32" s="44"/>
      <c r="AO32" s="24"/>
      <c r="AP32" s="19">
        <f t="shared" si="15"/>
        <v>5</v>
      </c>
      <c r="AQ32" s="19">
        <f t="shared" si="16"/>
        <v>3</v>
      </c>
      <c r="AR32" s="19">
        <f t="shared" si="17"/>
        <v>3</v>
      </c>
      <c r="AS32" s="19">
        <f t="shared" si="18"/>
        <v>2</v>
      </c>
      <c r="AT32" s="19">
        <f t="shared" si="28"/>
        <v>2</v>
      </c>
      <c r="AU32" s="19">
        <f t="shared" si="19"/>
        <v>2</v>
      </c>
      <c r="AV32" s="19">
        <f t="shared" si="20"/>
        <v>2</v>
      </c>
      <c r="AW32" s="19">
        <f t="shared" si="21"/>
        <v>1</v>
      </c>
      <c r="AX32" s="19">
        <f t="shared" si="22"/>
        <v>4</v>
      </c>
      <c r="AY32" s="19">
        <f t="shared" si="23"/>
        <v>1</v>
      </c>
      <c r="AZ32" s="19">
        <f t="shared" si="24"/>
        <v>0</v>
      </c>
      <c r="BA32" s="19">
        <f t="shared" si="25"/>
        <v>2</v>
      </c>
      <c r="BB32" s="19">
        <f t="shared" si="26"/>
        <v>2</v>
      </c>
      <c r="BC32" s="15">
        <f t="shared" si="27"/>
        <v>29</v>
      </c>
      <c r="BD32" s="12"/>
      <c r="BE32" s="12"/>
      <c r="BF32" s="12"/>
      <c r="BG32" s="12"/>
      <c r="BH32" s="12"/>
    </row>
    <row r="33" spans="1:60" ht="28.5" customHeight="1">
      <c r="A33" s="129"/>
      <c r="B33" s="20">
        <v>25</v>
      </c>
      <c r="C33" s="13" t="s">
        <v>62</v>
      </c>
      <c r="D33" s="56">
        <v>5</v>
      </c>
      <c r="E33" s="41" t="s">
        <v>26</v>
      </c>
      <c r="F33" s="16" t="s">
        <v>23</v>
      </c>
      <c r="G33" s="16" t="s">
        <v>15</v>
      </c>
      <c r="H33" s="16" t="s">
        <v>16</v>
      </c>
      <c r="I33" s="16" t="s">
        <v>17</v>
      </c>
      <c r="J33" s="17"/>
      <c r="K33" s="42"/>
      <c r="L33" s="51" t="s">
        <v>23</v>
      </c>
      <c r="M33" s="28" t="s">
        <v>17</v>
      </c>
      <c r="N33" s="28" t="s">
        <v>26</v>
      </c>
      <c r="O33" s="16" t="s">
        <v>20</v>
      </c>
      <c r="P33" s="16" t="s">
        <v>15</v>
      </c>
      <c r="Q33" s="16" t="s">
        <v>19</v>
      </c>
      <c r="R33" s="43" t="s">
        <v>19</v>
      </c>
      <c r="S33" s="41" t="s">
        <v>15</v>
      </c>
      <c r="T33" s="16" t="s">
        <v>22</v>
      </c>
      <c r="U33" s="16" t="s">
        <v>21</v>
      </c>
      <c r="V33" s="16" t="s">
        <v>21</v>
      </c>
      <c r="W33" s="16" t="s">
        <v>18</v>
      </c>
      <c r="X33" s="17"/>
      <c r="Y33" s="42"/>
      <c r="Z33" s="41" t="s">
        <v>16</v>
      </c>
      <c r="AA33" s="16" t="s">
        <v>23</v>
      </c>
      <c r="AB33" s="16" t="s">
        <v>15</v>
      </c>
      <c r="AC33" s="16" t="s">
        <v>17</v>
      </c>
      <c r="AD33" s="16" t="s">
        <v>18</v>
      </c>
      <c r="AE33" s="17"/>
      <c r="AF33" s="42"/>
      <c r="AG33" s="51" t="s">
        <v>15</v>
      </c>
      <c r="AH33" s="28" t="s">
        <v>24</v>
      </c>
      <c r="AI33" s="28" t="s">
        <v>16</v>
      </c>
      <c r="AJ33" s="28" t="s">
        <v>20</v>
      </c>
      <c r="AK33" s="28" t="s">
        <v>27</v>
      </c>
      <c r="AL33" s="28" t="s">
        <v>27</v>
      </c>
      <c r="AM33" s="53" t="s">
        <v>23</v>
      </c>
      <c r="AN33" s="44"/>
      <c r="AO33" s="24"/>
      <c r="AP33" s="19">
        <f t="shared" si="15"/>
        <v>5</v>
      </c>
      <c r="AQ33" s="19">
        <f t="shared" si="16"/>
        <v>3</v>
      </c>
      <c r="AR33" s="19">
        <f t="shared" si="17"/>
        <v>3</v>
      </c>
      <c r="AS33" s="19">
        <f t="shared" si="18"/>
        <v>2</v>
      </c>
      <c r="AT33" s="19">
        <f t="shared" si="28"/>
        <v>2</v>
      </c>
      <c r="AU33" s="19">
        <f t="shared" si="19"/>
        <v>2</v>
      </c>
      <c r="AV33" s="19">
        <f t="shared" si="20"/>
        <v>2</v>
      </c>
      <c r="AW33" s="19">
        <f t="shared" si="21"/>
        <v>1</v>
      </c>
      <c r="AX33" s="19">
        <f t="shared" si="22"/>
        <v>4</v>
      </c>
      <c r="AY33" s="19">
        <f t="shared" si="23"/>
        <v>1</v>
      </c>
      <c r="AZ33" s="19">
        <f t="shared" si="24"/>
        <v>0</v>
      </c>
      <c r="BA33" s="19">
        <f t="shared" si="25"/>
        <v>2</v>
      </c>
      <c r="BB33" s="19">
        <f t="shared" si="26"/>
        <v>2</v>
      </c>
      <c r="BC33" s="15">
        <f t="shared" si="27"/>
        <v>29</v>
      </c>
      <c r="BD33" s="12"/>
      <c r="BE33" s="12"/>
      <c r="BF33" s="12"/>
      <c r="BG33" s="12"/>
      <c r="BH33" s="12"/>
    </row>
    <row r="34" spans="1:60" ht="28.5" customHeight="1">
      <c r="A34" s="129"/>
      <c r="B34" s="20">
        <v>26</v>
      </c>
      <c r="C34" s="13" t="s">
        <v>63</v>
      </c>
      <c r="D34" s="56">
        <v>5</v>
      </c>
      <c r="E34" s="41" t="s">
        <v>26</v>
      </c>
      <c r="F34" s="16" t="s">
        <v>23</v>
      </c>
      <c r="G34" s="16" t="s">
        <v>15</v>
      </c>
      <c r="H34" s="16" t="s">
        <v>16</v>
      </c>
      <c r="I34" s="16" t="s">
        <v>17</v>
      </c>
      <c r="J34" s="17"/>
      <c r="K34" s="42"/>
      <c r="L34" s="51" t="s">
        <v>23</v>
      </c>
      <c r="M34" s="28" t="s">
        <v>17</v>
      </c>
      <c r="N34" s="28" t="s">
        <v>26</v>
      </c>
      <c r="O34" s="16" t="s">
        <v>20</v>
      </c>
      <c r="P34" s="16" t="s">
        <v>15</v>
      </c>
      <c r="Q34" s="16" t="s">
        <v>19</v>
      </c>
      <c r="R34" s="43" t="s">
        <v>19</v>
      </c>
      <c r="S34" s="41" t="s">
        <v>15</v>
      </c>
      <c r="T34" s="16" t="s">
        <v>22</v>
      </c>
      <c r="U34" s="16" t="s">
        <v>21</v>
      </c>
      <c r="V34" s="16" t="s">
        <v>21</v>
      </c>
      <c r="W34" s="16" t="s">
        <v>18</v>
      </c>
      <c r="X34" s="17"/>
      <c r="Y34" s="42"/>
      <c r="Z34" s="41" t="s">
        <v>16</v>
      </c>
      <c r="AA34" s="16" t="s">
        <v>23</v>
      </c>
      <c r="AB34" s="16" t="s">
        <v>15</v>
      </c>
      <c r="AC34" s="16" t="s">
        <v>17</v>
      </c>
      <c r="AD34" s="16" t="s">
        <v>18</v>
      </c>
      <c r="AE34" s="17"/>
      <c r="AF34" s="42"/>
      <c r="AG34" s="51" t="s">
        <v>15</v>
      </c>
      <c r="AH34" s="28" t="s">
        <v>24</v>
      </c>
      <c r="AI34" s="28" t="s">
        <v>16</v>
      </c>
      <c r="AJ34" s="28" t="s">
        <v>20</v>
      </c>
      <c r="AK34" s="28" t="s">
        <v>27</v>
      </c>
      <c r="AL34" s="28" t="s">
        <v>27</v>
      </c>
      <c r="AM34" s="53" t="s">
        <v>23</v>
      </c>
      <c r="AN34" s="44"/>
      <c r="AO34" s="24"/>
      <c r="AP34" s="19">
        <f t="shared" si="15"/>
        <v>5</v>
      </c>
      <c r="AQ34" s="19">
        <f t="shared" si="16"/>
        <v>3</v>
      </c>
      <c r="AR34" s="19">
        <f t="shared" si="17"/>
        <v>3</v>
      </c>
      <c r="AS34" s="19">
        <f t="shared" si="18"/>
        <v>2</v>
      </c>
      <c r="AT34" s="19">
        <f t="shared" si="28"/>
        <v>2</v>
      </c>
      <c r="AU34" s="19">
        <f t="shared" si="19"/>
        <v>2</v>
      </c>
      <c r="AV34" s="19">
        <f t="shared" si="20"/>
        <v>2</v>
      </c>
      <c r="AW34" s="19">
        <f t="shared" si="21"/>
        <v>1</v>
      </c>
      <c r="AX34" s="19">
        <f t="shared" si="22"/>
        <v>4</v>
      </c>
      <c r="AY34" s="19">
        <f t="shared" si="23"/>
        <v>1</v>
      </c>
      <c r="AZ34" s="19">
        <f t="shared" si="24"/>
        <v>0</v>
      </c>
      <c r="BA34" s="19">
        <f t="shared" si="25"/>
        <v>2</v>
      </c>
      <c r="BB34" s="19">
        <f t="shared" si="26"/>
        <v>2</v>
      </c>
      <c r="BC34" s="15">
        <f t="shared" si="27"/>
        <v>29</v>
      </c>
      <c r="BD34" s="12"/>
      <c r="BE34" s="12"/>
      <c r="BF34" s="12"/>
      <c r="BG34" s="12"/>
      <c r="BH34" s="12"/>
    </row>
    <row r="35" spans="1:60" ht="28.5" customHeight="1">
      <c r="A35" s="129"/>
      <c r="B35" s="20">
        <v>27</v>
      </c>
      <c r="C35" s="13" t="s">
        <v>64</v>
      </c>
      <c r="D35" s="56">
        <v>2</v>
      </c>
      <c r="E35" s="41" t="s">
        <v>26</v>
      </c>
      <c r="F35" s="16" t="s">
        <v>23</v>
      </c>
      <c r="G35" s="16" t="s">
        <v>15</v>
      </c>
      <c r="H35" s="16" t="s">
        <v>16</v>
      </c>
      <c r="I35" s="16" t="s">
        <v>17</v>
      </c>
      <c r="J35" s="17"/>
      <c r="K35" s="42"/>
      <c r="L35" s="51" t="s">
        <v>23</v>
      </c>
      <c r="M35" s="28" t="s">
        <v>17</v>
      </c>
      <c r="N35" s="28" t="s">
        <v>26</v>
      </c>
      <c r="O35" s="16" t="s">
        <v>20</v>
      </c>
      <c r="P35" s="16" t="s">
        <v>15</v>
      </c>
      <c r="Q35" s="16" t="s">
        <v>19</v>
      </c>
      <c r="R35" s="43" t="s">
        <v>19</v>
      </c>
      <c r="S35" s="135" t="s">
        <v>65</v>
      </c>
      <c r="T35" s="187"/>
      <c r="U35" s="187"/>
      <c r="V35" s="187"/>
      <c r="W35" s="187"/>
      <c r="X35" s="187"/>
      <c r="Y35" s="188"/>
      <c r="Z35" s="135" t="s">
        <v>66</v>
      </c>
      <c r="AA35" s="187"/>
      <c r="AB35" s="187"/>
      <c r="AC35" s="187"/>
      <c r="AD35" s="187"/>
      <c r="AE35" s="187"/>
      <c r="AF35" s="188"/>
      <c r="AG35" s="135" t="s">
        <v>67</v>
      </c>
      <c r="AH35" s="187"/>
      <c r="AI35" s="187"/>
      <c r="AJ35" s="187"/>
      <c r="AK35" s="187"/>
      <c r="AL35" s="187"/>
      <c r="AM35" s="188"/>
      <c r="AN35" s="44"/>
      <c r="AO35" s="24"/>
      <c r="AP35" s="19">
        <f t="shared" si="15"/>
        <v>2</v>
      </c>
      <c r="AQ35" s="19">
        <f t="shared" si="16"/>
        <v>1</v>
      </c>
      <c r="AR35" s="19">
        <f t="shared" si="17"/>
        <v>2</v>
      </c>
      <c r="AS35" s="19">
        <f t="shared" si="18"/>
        <v>0</v>
      </c>
      <c r="AT35" s="19">
        <f t="shared" si="28"/>
        <v>2</v>
      </c>
      <c r="AU35" s="19">
        <f t="shared" si="19"/>
        <v>1</v>
      </c>
      <c r="AV35" s="19">
        <f t="shared" si="20"/>
        <v>0</v>
      </c>
      <c r="AW35" s="19">
        <f t="shared" si="21"/>
        <v>0</v>
      </c>
      <c r="AX35" s="19">
        <f t="shared" si="22"/>
        <v>2</v>
      </c>
      <c r="AY35" s="19">
        <f t="shared" si="23"/>
        <v>0</v>
      </c>
      <c r="AZ35" s="19">
        <f t="shared" si="24"/>
        <v>0</v>
      </c>
      <c r="BA35" s="19">
        <f t="shared" si="25"/>
        <v>2</v>
      </c>
      <c r="BB35" s="19">
        <f t="shared" si="26"/>
        <v>0</v>
      </c>
      <c r="BC35" s="15">
        <f t="shared" si="27"/>
        <v>12</v>
      </c>
      <c r="BD35" s="12"/>
      <c r="BE35" s="12"/>
      <c r="BF35" s="12"/>
      <c r="BG35" s="12"/>
      <c r="BH35" s="12"/>
    </row>
    <row r="36" spans="1:60" ht="28.5" customHeight="1">
      <c r="A36" s="140">
        <v>10</v>
      </c>
      <c r="B36" s="20">
        <v>28</v>
      </c>
      <c r="C36" s="13" t="s">
        <v>68</v>
      </c>
      <c r="D36" s="56">
        <v>5</v>
      </c>
      <c r="E36" s="41" t="s">
        <v>26</v>
      </c>
      <c r="F36" s="80" t="s">
        <v>25</v>
      </c>
      <c r="G36" s="16" t="s">
        <v>15</v>
      </c>
      <c r="H36" s="16" t="s">
        <v>16</v>
      </c>
      <c r="I36" s="16" t="s">
        <v>17</v>
      </c>
      <c r="J36" s="17"/>
      <c r="K36" s="42"/>
      <c r="L36" s="51" t="s">
        <v>23</v>
      </c>
      <c r="M36" s="28" t="s">
        <v>17</v>
      </c>
      <c r="N36" s="28" t="s">
        <v>26</v>
      </c>
      <c r="O36" s="16" t="s">
        <v>20</v>
      </c>
      <c r="P36" s="16" t="s">
        <v>15</v>
      </c>
      <c r="Q36" s="16" t="s">
        <v>19</v>
      </c>
      <c r="R36" s="43" t="s">
        <v>19</v>
      </c>
      <c r="S36" s="41" t="s">
        <v>15</v>
      </c>
      <c r="T36" s="16" t="s">
        <v>22</v>
      </c>
      <c r="U36" s="16" t="s">
        <v>21</v>
      </c>
      <c r="V36" s="16" t="s">
        <v>21</v>
      </c>
      <c r="W36" s="16" t="s">
        <v>18</v>
      </c>
      <c r="X36" s="17"/>
      <c r="Y36" s="42"/>
      <c r="Z36" s="41" t="s">
        <v>16</v>
      </c>
      <c r="AA36" s="16" t="s">
        <v>23</v>
      </c>
      <c r="AB36" s="16" t="s">
        <v>15</v>
      </c>
      <c r="AC36" s="16" t="s">
        <v>17</v>
      </c>
      <c r="AD36" s="16" t="s">
        <v>18</v>
      </c>
      <c r="AE36" s="17"/>
      <c r="AF36" s="42"/>
      <c r="AG36" s="51" t="s">
        <v>15</v>
      </c>
      <c r="AH36" s="28" t="s">
        <v>24</v>
      </c>
      <c r="AI36" s="28" t="s">
        <v>16</v>
      </c>
      <c r="AJ36" s="28" t="s">
        <v>20</v>
      </c>
      <c r="AK36" s="28" t="s">
        <v>27</v>
      </c>
      <c r="AL36" s="28" t="s">
        <v>27</v>
      </c>
      <c r="AM36" s="53" t="s">
        <v>23</v>
      </c>
      <c r="AN36" s="45"/>
      <c r="AO36" s="24"/>
      <c r="AP36" s="19">
        <f t="shared" si="15"/>
        <v>5</v>
      </c>
      <c r="AQ36" s="19">
        <f t="shared" si="16"/>
        <v>3</v>
      </c>
      <c r="AR36" s="19">
        <f t="shared" si="17"/>
        <v>3</v>
      </c>
      <c r="AS36" s="19">
        <f t="shared" si="18"/>
        <v>2</v>
      </c>
      <c r="AT36" s="19">
        <f t="shared" si="28"/>
        <v>2</v>
      </c>
      <c r="AU36" s="19">
        <f t="shared" si="19"/>
        <v>2</v>
      </c>
      <c r="AV36" s="19">
        <f t="shared" si="20"/>
        <v>2</v>
      </c>
      <c r="AW36" s="19">
        <f t="shared" si="21"/>
        <v>1</v>
      </c>
      <c r="AX36" s="19">
        <f t="shared" si="22"/>
        <v>3</v>
      </c>
      <c r="AY36" s="19">
        <f t="shared" si="23"/>
        <v>1</v>
      </c>
      <c r="AZ36" s="19">
        <f t="shared" si="24"/>
        <v>1</v>
      </c>
      <c r="BA36" s="19">
        <f t="shared" si="25"/>
        <v>2</v>
      </c>
      <c r="BB36" s="19">
        <f t="shared" si="26"/>
        <v>2</v>
      </c>
      <c r="BC36" s="15">
        <f t="shared" si="27"/>
        <v>29</v>
      </c>
      <c r="BD36" s="12"/>
      <c r="BE36" s="12"/>
      <c r="BF36" s="12"/>
      <c r="BG36" s="12"/>
      <c r="BH36" s="12"/>
    </row>
    <row r="37" spans="1:60" ht="28.5" customHeight="1">
      <c r="A37" s="129"/>
      <c r="B37" s="20">
        <v>29</v>
      </c>
      <c r="C37" s="13" t="s">
        <v>69</v>
      </c>
      <c r="D37" s="56">
        <v>3</v>
      </c>
      <c r="E37" s="135" t="s">
        <v>30</v>
      </c>
      <c r="F37" s="187"/>
      <c r="G37" s="187"/>
      <c r="H37" s="187"/>
      <c r="I37" s="187"/>
      <c r="J37" s="187"/>
      <c r="K37" s="188"/>
      <c r="L37" s="51" t="s">
        <v>23</v>
      </c>
      <c r="M37" s="28" t="s">
        <v>17</v>
      </c>
      <c r="N37" s="28" t="s">
        <v>26</v>
      </c>
      <c r="O37" s="16" t="s">
        <v>20</v>
      </c>
      <c r="P37" s="16" t="s">
        <v>15</v>
      </c>
      <c r="Q37" s="16" t="s">
        <v>19</v>
      </c>
      <c r="R37" s="43" t="s">
        <v>19</v>
      </c>
      <c r="S37" s="41" t="s">
        <v>15</v>
      </c>
      <c r="T37" s="16" t="s">
        <v>22</v>
      </c>
      <c r="U37" s="16" t="s">
        <v>21</v>
      </c>
      <c r="V37" s="16" t="s">
        <v>21</v>
      </c>
      <c r="W37" s="16" t="s">
        <v>18</v>
      </c>
      <c r="X37" s="17"/>
      <c r="Y37" s="42"/>
      <c r="Z37" s="41" t="s">
        <v>16</v>
      </c>
      <c r="AA37" s="16" t="s">
        <v>23</v>
      </c>
      <c r="AB37" s="16" t="s">
        <v>15</v>
      </c>
      <c r="AC37" s="16" t="s">
        <v>17</v>
      </c>
      <c r="AD37" s="16" t="s">
        <v>18</v>
      </c>
      <c r="AE37" s="17"/>
      <c r="AF37" s="42"/>
      <c r="AG37" s="142" t="s">
        <v>70</v>
      </c>
      <c r="AH37" s="192"/>
      <c r="AI37" s="192"/>
      <c r="AJ37" s="192"/>
      <c r="AK37" s="192"/>
      <c r="AL37" s="192"/>
      <c r="AM37" s="193"/>
      <c r="AN37" s="45"/>
      <c r="AO37" s="24"/>
      <c r="AP37" s="19">
        <f t="shared" si="15"/>
        <v>3</v>
      </c>
      <c r="AQ37" s="19">
        <f t="shared" si="16"/>
        <v>1</v>
      </c>
      <c r="AR37" s="19">
        <f t="shared" si="17"/>
        <v>2</v>
      </c>
      <c r="AS37" s="19">
        <f t="shared" si="18"/>
        <v>2</v>
      </c>
      <c r="AT37" s="19">
        <f t="shared" si="28"/>
        <v>2</v>
      </c>
      <c r="AU37" s="19">
        <f t="shared" si="19"/>
        <v>1</v>
      </c>
      <c r="AV37" s="19">
        <f t="shared" si="20"/>
        <v>2</v>
      </c>
      <c r="AW37" s="19">
        <f t="shared" si="21"/>
        <v>1</v>
      </c>
      <c r="AX37" s="19">
        <f t="shared" si="22"/>
        <v>2</v>
      </c>
      <c r="AY37" s="19">
        <f t="shared" si="23"/>
        <v>0</v>
      </c>
      <c r="AZ37" s="19">
        <f t="shared" si="24"/>
        <v>0</v>
      </c>
      <c r="BA37" s="19">
        <f t="shared" si="25"/>
        <v>1</v>
      </c>
      <c r="BB37" s="19">
        <f t="shared" si="26"/>
        <v>0</v>
      </c>
      <c r="BC37" s="15">
        <f t="shared" si="27"/>
        <v>17</v>
      </c>
      <c r="BD37" s="12"/>
      <c r="BE37" s="12"/>
      <c r="BF37" s="12"/>
      <c r="BG37" s="12"/>
      <c r="BH37" s="12"/>
    </row>
    <row r="38" spans="1:60" ht="28.5" customHeight="1">
      <c r="A38" s="129"/>
      <c r="B38" s="20">
        <v>30</v>
      </c>
      <c r="C38" s="13" t="s">
        <v>71</v>
      </c>
      <c r="D38" s="56">
        <v>5</v>
      </c>
      <c r="E38" s="41" t="s">
        <v>26</v>
      </c>
      <c r="F38" s="16" t="s">
        <v>23</v>
      </c>
      <c r="G38" s="16" t="s">
        <v>15</v>
      </c>
      <c r="H38" s="16" t="s">
        <v>16</v>
      </c>
      <c r="I38" s="16" t="s">
        <v>17</v>
      </c>
      <c r="J38" s="17"/>
      <c r="K38" s="42"/>
      <c r="L38" s="51" t="s">
        <v>23</v>
      </c>
      <c r="M38" s="28" t="s">
        <v>17</v>
      </c>
      <c r="N38" s="28" t="s">
        <v>26</v>
      </c>
      <c r="O38" s="16" t="s">
        <v>20</v>
      </c>
      <c r="P38" s="16" t="s">
        <v>15</v>
      </c>
      <c r="Q38" s="16" t="s">
        <v>19</v>
      </c>
      <c r="R38" s="43" t="s">
        <v>19</v>
      </c>
      <c r="S38" s="41" t="s">
        <v>15</v>
      </c>
      <c r="T38" s="16" t="s">
        <v>22</v>
      </c>
      <c r="U38" s="16" t="s">
        <v>21</v>
      </c>
      <c r="V38" s="16" t="s">
        <v>21</v>
      </c>
      <c r="W38" s="16" t="s">
        <v>18</v>
      </c>
      <c r="X38" s="17"/>
      <c r="Y38" s="42"/>
      <c r="Z38" s="41" t="s">
        <v>16</v>
      </c>
      <c r="AA38" s="16" t="s">
        <v>23</v>
      </c>
      <c r="AB38" s="16" t="s">
        <v>15</v>
      </c>
      <c r="AC38" s="16" t="s">
        <v>17</v>
      </c>
      <c r="AD38" s="16" t="s">
        <v>18</v>
      </c>
      <c r="AE38" s="17"/>
      <c r="AF38" s="42"/>
      <c r="AG38" s="51" t="s">
        <v>15</v>
      </c>
      <c r="AH38" s="28" t="s">
        <v>24</v>
      </c>
      <c r="AI38" s="28" t="s">
        <v>16</v>
      </c>
      <c r="AJ38" s="28" t="s">
        <v>20</v>
      </c>
      <c r="AK38" s="28" t="s">
        <v>27</v>
      </c>
      <c r="AL38" s="28" t="s">
        <v>27</v>
      </c>
      <c r="AM38" s="53" t="s">
        <v>23</v>
      </c>
      <c r="AN38" s="45"/>
      <c r="AO38" s="24"/>
      <c r="AP38" s="19">
        <f t="shared" si="15"/>
        <v>5</v>
      </c>
      <c r="AQ38" s="19">
        <f t="shared" si="16"/>
        <v>3</v>
      </c>
      <c r="AR38" s="19">
        <f t="shared" si="17"/>
        <v>3</v>
      </c>
      <c r="AS38" s="19">
        <f t="shared" si="18"/>
        <v>2</v>
      </c>
      <c r="AT38" s="19">
        <f t="shared" si="28"/>
        <v>2</v>
      </c>
      <c r="AU38" s="19">
        <f t="shared" si="19"/>
        <v>2</v>
      </c>
      <c r="AV38" s="19">
        <f t="shared" si="20"/>
        <v>2</v>
      </c>
      <c r="AW38" s="19">
        <f t="shared" si="21"/>
        <v>1</v>
      </c>
      <c r="AX38" s="19">
        <f t="shared" si="22"/>
        <v>4</v>
      </c>
      <c r="AY38" s="19">
        <f t="shared" si="23"/>
        <v>1</v>
      </c>
      <c r="AZ38" s="19">
        <f t="shared" si="24"/>
        <v>0</v>
      </c>
      <c r="BA38" s="19">
        <f t="shared" si="25"/>
        <v>2</v>
      </c>
      <c r="BB38" s="19">
        <f t="shared" si="26"/>
        <v>2</v>
      </c>
      <c r="BC38" s="15">
        <f t="shared" si="27"/>
        <v>29</v>
      </c>
      <c r="BD38" s="12"/>
      <c r="BE38" s="12"/>
      <c r="BF38" s="12"/>
      <c r="BG38" s="12"/>
      <c r="BH38" s="12"/>
    </row>
    <row r="39" spans="1:60" ht="28.5" customHeight="1">
      <c r="A39" s="129"/>
      <c r="B39" s="20">
        <v>31</v>
      </c>
      <c r="C39" s="13" t="s">
        <v>72</v>
      </c>
      <c r="D39" s="56">
        <v>5</v>
      </c>
      <c r="E39" s="41" t="s">
        <v>26</v>
      </c>
      <c r="F39" s="16" t="s">
        <v>23</v>
      </c>
      <c r="G39" s="16" t="s">
        <v>15</v>
      </c>
      <c r="H39" s="16" t="s">
        <v>16</v>
      </c>
      <c r="I39" s="16" t="s">
        <v>17</v>
      </c>
      <c r="J39" s="17"/>
      <c r="K39" s="42"/>
      <c r="L39" s="51" t="s">
        <v>23</v>
      </c>
      <c r="M39" s="28" t="s">
        <v>17</v>
      </c>
      <c r="N39" s="28" t="s">
        <v>26</v>
      </c>
      <c r="O39" s="16" t="s">
        <v>20</v>
      </c>
      <c r="P39" s="16" t="s">
        <v>15</v>
      </c>
      <c r="Q39" s="16" t="s">
        <v>19</v>
      </c>
      <c r="R39" s="43" t="s">
        <v>19</v>
      </c>
      <c r="S39" s="41" t="s">
        <v>15</v>
      </c>
      <c r="T39" s="16" t="s">
        <v>22</v>
      </c>
      <c r="U39" s="16" t="s">
        <v>21</v>
      </c>
      <c r="V39" s="16" t="s">
        <v>21</v>
      </c>
      <c r="W39" s="16" t="s">
        <v>18</v>
      </c>
      <c r="X39" s="17"/>
      <c r="Y39" s="42"/>
      <c r="Z39" s="41" t="s">
        <v>16</v>
      </c>
      <c r="AA39" s="16" t="s">
        <v>23</v>
      </c>
      <c r="AB39" s="16" t="s">
        <v>15</v>
      </c>
      <c r="AC39" s="16" t="s">
        <v>17</v>
      </c>
      <c r="AD39" s="16" t="s">
        <v>18</v>
      </c>
      <c r="AE39" s="17"/>
      <c r="AF39" s="42"/>
      <c r="AG39" s="51" t="s">
        <v>15</v>
      </c>
      <c r="AH39" s="28" t="s">
        <v>24</v>
      </c>
      <c r="AI39" s="28" t="s">
        <v>16</v>
      </c>
      <c r="AJ39" s="28" t="s">
        <v>20</v>
      </c>
      <c r="AK39" s="28" t="s">
        <v>27</v>
      </c>
      <c r="AL39" s="28" t="s">
        <v>27</v>
      </c>
      <c r="AM39" s="53" t="s">
        <v>23</v>
      </c>
      <c r="AN39" s="44"/>
      <c r="AO39" s="24"/>
      <c r="AP39" s="19">
        <f t="shared" si="15"/>
        <v>5</v>
      </c>
      <c r="AQ39" s="19">
        <f t="shared" si="16"/>
        <v>3</v>
      </c>
      <c r="AR39" s="19">
        <f t="shared" si="17"/>
        <v>3</v>
      </c>
      <c r="AS39" s="19">
        <f t="shared" si="18"/>
        <v>2</v>
      </c>
      <c r="AT39" s="19">
        <f t="shared" si="28"/>
        <v>2</v>
      </c>
      <c r="AU39" s="19">
        <f t="shared" si="19"/>
        <v>2</v>
      </c>
      <c r="AV39" s="19">
        <f t="shared" si="20"/>
        <v>2</v>
      </c>
      <c r="AW39" s="19">
        <f t="shared" si="21"/>
        <v>1</v>
      </c>
      <c r="AX39" s="19">
        <f t="shared" si="22"/>
        <v>4</v>
      </c>
      <c r="AY39" s="19">
        <f t="shared" si="23"/>
        <v>1</v>
      </c>
      <c r="AZ39" s="19">
        <f t="shared" si="24"/>
        <v>0</v>
      </c>
      <c r="BA39" s="19">
        <f t="shared" si="25"/>
        <v>2</v>
      </c>
      <c r="BB39" s="19">
        <f t="shared" si="26"/>
        <v>2</v>
      </c>
      <c r="BC39" s="15">
        <f t="shared" si="27"/>
        <v>29</v>
      </c>
      <c r="BD39" s="12"/>
      <c r="BE39" s="12"/>
      <c r="BF39" s="12"/>
      <c r="BG39" s="12"/>
      <c r="BH39" s="12"/>
    </row>
    <row r="40" spans="1:60" ht="28.5" customHeight="1">
      <c r="A40" s="141"/>
      <c r="B40" s="20">
        <v>32</v>
      </c>
      <c r="C40" s="13" t="s">
        <v>73</v>
      </c>
      <c r="D40" s="56">
        <v>5</v>
      </c>
      <c r="E40" s="41" t="s">
        <v>26</v>
      </c>
      <c r="F40" s="16" t="s">
        <v>23</v>
      </c>
      <c r="G40" s="16" t="s">
        <v>15</v>
      </c>
      <c r="H40" s="16" t="s">
        <v>16</v>
      </c>
      <c r="I40" s="16" t="s">
        <v>17</v>
      </c>
      <c r="J40" s="17"/>
      <c r="K40" s="42"/>
      <c r="L40" s="51" t="s">
        <v>23</v>
      </c>
      <c r="M40" s="28" t="s">
        <v>17</v>
      </c>
      <c r="N40" s="28" t="s">
        <v>26</v>
      </c>
      <c r="O40" s="16" t="s">
        <v>20</v>
      </c>
      <c r="P40" s="16" t="s">
        <v>15</v>
      </c>
      <c r="Q40" s="16" t="s">
        <v>19</v>
      </c>
      <c r="R40" s="43" t="s">
        <v>19</v>
      </c>
      <c r="S40" s="41" t="s">
        <v>15</v>
      </c>
      <c r="T40" s="16" t="s">
        <v>22</v>
      </c>
      <c r="U40" s="16" t="s">
        <v>21</v>
      </c>
      <c r="V40" s="16" t="s">
        <v>21</v>
      </c>
      <c r="W40" s="16" t="s">
        <v>18</v>
      </c>
      <c r="X40" s="17"/>
      <c r="Y40" s="42"/>
      <c r="Z40" s="41" t="s">
        <v>16</v>
      </c>
      <c r="AA40" s="16" t="s">
        <v>23</v>
      </c>
      <c r="AB40" s="16" t="s">
        <v>15</v>
      </c>
      <c r="AC40" s="16" t="s">
        <v>17</v>
      </c>
      <c r="AD40" s="16" t="s">
        <v>18</v>
      </c>
      <c r="AE40" s="17"/>
      <c r="AF40" s="42"/>
      <c r="AG40" s="51" t="s">
        <v>15</v>
      </c>
      <c r="AH40" s="28" t="s">
        <v>24</v>
      </c>
      <c r="AI40" s="28" t="s">
        <v>16</v>
      </c>
      <c r="AJ40" s="28" t="s">
        <v>20</v>
      </c>
      <c r="AK40" s="28" t="s">
        <v>27</v>
      </c>
      <c r="AL40" s="28" t="s">
        <v>27</v>
      </c>
      <c r="AM40" s="53" t="s">
        <v>23</v>
      </c>
      <c r="AN40" s="44"/>
      <c r="AO40" s="24"/>
      <c r="AP40" s="19">
        <f t="shared" si="15"/>
        <v>5</v>
      </c>
      <c r="AQ40" s="19">
        <f t="shared" si="16"/>
        <v>3</v>
      </c>
      <c r="AR40" s="19">
        <f t="shared" si="17"/>
        <v>3</v>
      </c>
      <c r="AS40" s="19">
        <f t="shared" si="18"/>
        <v>2</v>
      </c>
      <c r="AT40" s="19">
        <f t="shared" si="28"/>
        <v>2</v>
      </c>
      <c r="AU40" s="19">
        <f t="shared" si="19"/>
        <v>2</v>
      </c>
      <c r="AV40" s="19">
        <f t="shared" si="20"/>
        <v>2</v>
      </c>
      <c r="AW40" s="19">
        <f t="shared" si="21"/>
        <v>1</v>
      </c>
      <c r="AX40" s="19">
        <f t="shared" si="22"/>
        <v>4</v>
      </c>
      <c r="AY40" s="19">
        <f t="shared" si="23"/>
        <v>1</v>
      </c>
      <c r="AZ40" s="19">
        <f t="shared" si="24"/>
        <v>0</v>
      </c>
      <c r="BA40" s="19">
        <f t="shared" si="25"/>
        <v>2</v>
      </c>
      <c r="BB40" s="19">
        <f t="shared" si="26"/>
        <v>2</v>
      </c>
      <c r="BC40" s="15">
        <f t="shared" si="27"/>
        <v>29</v>
      </c>
      <c r="BD40" s="12"/>
      <c r="BE40" s="12"/>
      <c r="BF40" s="12"/>
      <c r="BG40" s="12"/>
      <c r="BH40" s="12"/>
    </row>
    <row r="41" spans="1:60" ht="28.5" customHeight="1">
      <c r="A41" s="129">
        <v>11</v>
      </c>
      <c r="B41" s="20">
        <v>33</v>
      </c>
      <c r="C41" s="13" t="s">
        <v>74</v>
      </c>
      <c r="D41" s="56">
        <v>5</v>
      </c>
      <c r="E41" s="41" t="s">
        <v>26</v>
      </c>
      <c r="F41" s="80" t="s">
        <v>25</v>
      </c>
      <c r="G41" s="16" t="s">
        <v>15</v>
      </c>
      <c r="H41" s="16" t="s">
        <v>16</v>
      </c>
      <c r="I41" s="16" t="s">
        <v>17</v>
      </c>
      <c r="J41" s="17"/>
      <c r="K41" s="42"/>
      <c r="L41" s="51" t="s">
        <v>23</v>
      </c>
      <c r="M41" s="28" t="s">
        <v>17</v>
      </c>
      <c r="N41" s="28" t="s">
        <v>26</v>
      </c>
      <c r="O41" s="16" t="s">
        <v>20</v>
      </c>
      <c r="P41" s="16" t="s">
        <v>15</v>
      </c>
      <c r="Q41" s="16" t="s">
        <v>19</v>
      </c>
      <c r="R41" s="43" t="s">
        <v>19</v>
      </c>
      <c r="S41" s="41" t="s">
        <v>15</v>
      </c>
      <c r="T41" s="16" t="s">
        <v>22</v>
      </c>
      <c r="U41" s="16" t="s">
        <v>21</v>
      </c>
      <c r="V41" s="16" t="s">
        <v>21</v>
      </c>
      <c r="W41" s="16" t="s">
        <v>18</v>
      </c>
      <c r="X41" s="17"/>
      <c r="Y41" s="42"/>
      <c r="Z41" s="41" t="s">
        <v>16</v>
      </c>
      <c r="AA41" s="16" t="s">
        <v>23</v>
      </c>
      <c r="AB41" s="16" t="s">
        <v>15</v>
      </c>
      <c r="AC41" s="16" t="s">
        <v>17</v>
      </c>
      <c r="AD41" s="16" t="s">
        <v>18</v>
      </c>
      <c r="AE41" s="17"/>
      <c r="AF41" s="42"/>
      <c r="AG41" s="51" t="s">
        <v>15</v>
      </c>
      <c r="AH41" s="28" t="s">
        <v>24</v>
      </c>
      <c r="AI41" s="28" t="s">
        <v>16</v>
      </c>
      <c r="AJ41" s="28" t="s">
        <v>20</v>
      </c>
      <c r="AK41" s="28" t="s">
        <v>27</v>
      </c>
      <c r="AL41" s="28" t="s">
        <v>27</v>
      </c>
      <c r="AM41" s="53" t="s">
        <v>23</v>
      </c>
      <c r="AN41" s="44"/>
      <c r="AO41" s="24"/>
      <c r="AP41" s="19">
        <f t="shared" si="15"/>
        <v>5</v>
      </c>
      <c r="AQ41" s="19">
        <f t="shared" si="16"/>
        <v>3</v>
      </c>
      <c r="AR41" s="19">
        <f t="shared" si="17"/>
        <v>3</v>
      </c>
      <c r="AS41" s="19">
        <f t="shared" si="18"/>
        <v>2</v>
      </c>
      <c r="AT41" s="19">
        <f t="shared" si="28"/>
        <v>2</v>
      </c>
      <c r="AU41" s="19">
        <f t="shared" si="19"/>
        <v>2</v>
      </c>
      <c r="AV41" s="19">
        <f t="shared" si="20"/>
        <v>2</v>
      </c>
      <c r="AW41" s="19">
        <f t="shared" si="21"/>
        <v>1</v>
      </c>
      <c r="AX41" s="19">
        <f t="shared" si="22"/>
        <v>3</v>
      </c>
      <c r="AY41" s="19">
        <f t="shared" si="23"/>
        <v>1</v>
      </c>
      <c r="AZ41" s="19">
        <f t="shared" si="24"/>
        <v>1</v>
      </c>
      <c r="BA41" s="19">
        <f t="shared" si="25"/>
        <v>2</v>
      </c>
      <c r="BB41" s="19">
        <f t="shared" si="26"/>
        <v>2</v>
      </c>
      <c r="BC41" s="15">
        <f t="shared" si="27"/>
        <v>29</v>
      </c>
      <c r="BD41" s="12"/>
      <c r="BE41" s="12"/>
      <c r="BF41" s="12"/>
      <c r="BG41" s="12"/>
      <c r="BH41" s="12"/>
    </row>
    <row r="42" spans="1:60" ht="28.5" customHeight="1">
      <c r="A42" s="129"/>
      <c r="B42" s="20">
        <v>34</v>
      </c>
      <c r="C42" s="13" t="s">
        <v>75</v>
      </c>
      <c r="D42" s="56">
        <v>5</v>
      </c>
      <c r="E42" s="41" t="s">
        <v>26</v>
      </c>
      <c r="F42" s="16" t="s">
        <v>23</v>
      </c>
      <c r="G42" s="16" t="s">
        <v>15</v>
      </c>
      <c r="H42" s="16" t="s">
        <v>16</v>
      </c>
      <c r="I42" s="16" t="s">
        <v>17</v>
      </c>
      <c r="J42" s="17"/>
      <c r="K42" s="42"/>
      <c r="L42" s="51" t="s">
        <v>23</v>
      </c>
      <c r="M42" s="28" t="s">
        <v>17</v>
      </c>
      <c r="N42" s="28" t="s">
        <v>26</v>
      </c>
      <c r="O42" s="16" t="s">
        <v>20</v>
      </c>
      <c r="P42" s="16" t="s">
        <v>15</v>
      </c>
      <c r="Q42" s="16" t="s">
        <v>19</v>
      </c>
      <c r="R42" s="43" t="s">
        <v>19</v>
      </c>
      <c r="S42" s="41" t="s">
        <v>15</v>
      </c>
      <c r="T42" s="16" t="s">
        <v>22</v>
      </c>
      <c r="U42" s="16" t="s">
        <v>21</v>
      </c>
      <c r="V42" s="16" t="s">
        <v>21</v>
      </c>
      <c r="W42" s="16" t="s">
        <v>18</v>
      </c>
      <c r="X42" s="17"/>
      <c r="Y42" s="42"/>
      <c r="Z42" s="41" t="s">
        <v>16</v>
      </c>
      <c r="AA42" s="16" t="s">
        <v>23</v>
      </c>
      <c r="AB42" s="16" t="s">
        <v>15</v>
      </c>
      <c r="AC42" s="16" t="s">
        <v>17</v>
      </c>
      <c r="AD42" s="16" t="s">
        <v>18</v>
      </c>
      <c r="AE42" s="17"/>
      <c r="AF42" s="42"/>
      <c r="AG42" s="51" t="s">
        <v>15</v>
      </c>
      <c r="AH42" s="28" t="s">
        <v>24</v>
      </c>
      <c r="AI42" s="28" t="s">
        <v>16</v>
      </c>
      <c r="AJ42" s="28" t="s">
        <v>20</v>
      </c>
      <c r="AK42" s="28" t="s">
        <v>27</v>
      </c>
      <c r="AL42" s="28" t="s">
        <v>27</v>
      </c>
      <c r="AM42" s="53" t="s">
        <v>23</v>
      </c>
      <c r="AN42" s="44"/>
      <c r="AO42" s="24"/>
      <c r="AP42" s="19">
        <f t="shared" si="15"/>
        <v>5</v>
      </c>
      <c r="AQ42" s="19">
        <f t="shared" si="16"/>
        <v>3</v>
      </c>
      <c r="AR42" s="19">
        <f t="shared" si="17"/>
        <v>3</v>
      </c>
      <c r="AS42" s="19">
        <f t="shared" si="18"/>
        <v>2</v>
      </c>
      <c r="AT42" s="19">
        <f t="shared" si="28"/>
        <v>2</v>
      </c>
      <c r="AU42" s="19">
        <f t="shared" si="19"/>
        <v>2</v>
      </c>
      <c r="AV42" s="19">
        <f t="shared" si="20"/>
        <v>2</v>
      </c>
      <c r="AW42" s="19">
        <f t="shared" si="21"/>
        <v>1</v>
      </c>
      <c r="AX42" s="19">
        <f t="shared" si="22"/>
        <v>4</v>
      </c>
      <c r="AY42" s="19">
        <f t="shared" si="23"/>
        <v>1</v>
      </c>
      <c r="AZ42" s="19">
        <f t="shared" si="24"/>
        <v>0</v>
      </c>
      <c r="BA42" s="19">
        <f t="shared" si="25"/>
        <v>2</v>
      </c>
      <c r="BB42" s="19">
        <f t="shared" si="26"/>
        <v>2</v>
      </c>
      <c r="BC42" s="15">
        <f t="shared" si="27"/>
        <v>29</v>
      </c>
      <c r="BD42" s="12"/>
      <c r="BE42" s="12"/>
      <c r="BF42" s="12"/>
      <c r="BG42" s="12"/>
      <c r="BH42" s="12"/>
    </row>
    <row r="43" spans="1:60" ht="28.5" customHeight="1">
      <c r="A43" s="129"/>
      <c r="B43" s="20">
        <v>35</v>
      </c>
      <c r="C43" s="13" t="s">
        <v>76</v>
      </c>
      <c r="D43" s="56">
        <v>5</v>
      </c>
      <c r="E43" s="41" t="s">
        <v>26</v>
      </c>
      <c r="F43" s="16" t="s">
        <v>23</v>
      </c>
      <c r="G43" s="16" t="s">
        <v>15</v>
      </c>
      <c r="H43" s="16" t="s">
        <v>16</v>
      </c>
      <c r="I43" s="16" t="s">
        <v>17</v>
      </c>
      <c r="J43" s="17"/>
      <c r="K43" s="42"/>
      <c r="L43" s="51" t="s">
        <v>23</v>
      </c>
      <c r="M43" s="28" t="s">
        <v>17</v>
      </c>
      <c r="N43" s="28" t="s">
        <v>26</v>
      </c>
      <c r="O43" s="16" t="s">
        <v>20</v>
      </c>
      <c r="P43" s="16" t="s">
        <v>15</v>
      </c>
      <c r="Q43" s="16" t="s">
        <v>19</v>
      </c>
      <c r="R43" s="43" t="s">
        <v>19</v>
      </c>
      <c r="S43" s="41" t="s">
        <v>15</v>
      </c>
      <c r="T43" s="16" t="s">
        <v>22</v>
      </c>
      <c r="U43" s="16" t="s">
        <v>21</v>
      </c>
      <c r="V43" s="16" t="s">
        <v>21</v>
      </c>
      <c r="W43" s="16" t="s">
        <v>18</v>
      </c>
      <c r="X43" s="17"/>
      <c r="Y43" s="42"/>
      <c r="Z43" s="41" t="s">
        <v>16</v>
      </c>
      <c r="AA43" s="16" t="s">
        <v>23</v>
      </c>
      <c r="AB43" s="16" t="s">
        <v>15</v>
      </c>
      <c r="AC43" s="16" t="s">
        <v>17</v>
      </c>
      <c r="AD43" s="16" t="s">
        <v>18</v>
      </c>
      <c r="AE43" s="17"/>
      <c r="AF43" s="42"/>
      <c r="AG43" s="51" t="s">
        <v>15</v>
      </c>
      <c r="AH43" s="28" t="s">
        <v>24</v>
      </c>
      <c r="AI43" s="28" t="s">
        <v>16</v>
      </c>
      <c r="AJ43" s="28" t="s">
        <v>20</v>
      </c>
      <c r="AK43" s="28" t="s">
        <v>27</v>
      </c>
      <c r="AL43" s="28" t="s">
        <v>27</v>
      </c>
      <c r="AM43" s="53" t="s">
        <v>23</v>
      </c>
      <c r="AN43" s="44"/>
      <c r="AO43" s="24"/>
      <c r="AP43" s="19">
        <f t="shared" si="15"/>
        <v>5</v>
      </c>
      <c r="AQ43" s="19">
        <f t="shared" si="16"/>
        <v>3</v>
      </c>
      <c r="AR43" s="19">
        <f t="shared" si="17"/>
        <v>3</v>
      </c>
      <c r="AS43" s="19">
        <f t="shared" si="18"/>
        <v>2</v>
      </c>
      <c r="AT43" s="19">
        <f t="shared" si="28"/>
        <v>2</v>
      </c>
      <c r="AU43" s="19">
        <f t="shared" si="19"/>
        <v>2</v>
      </c>
      <c r="AV43" s="19">
        <f t="shared" si="20"/>
        <v>2</v>
      </c>
      <c r="AW43" s="19">
        <f t="shared" si="21"/>
        <v>1</v>
      </c>
      <c r="AX43" s="19">
        <f t="shared" si="22"/>
        <v>4</v>
      </c>
      <c r="AY43" s="19">
        <f t="shared" si="23"/>
        <v>1</v>
      </c>
      <c r="AZ43" s="19">
        <f t="shared" si="24"/>
        <v>0</v>
      </c>
      <c r="BA43" s="19">
        <f t="shared" si="25"/>
        <v>2</v>
      </c>
      <c r="BB43" s="19">
        <f t="shared" si="26"/>
        <v>2</v>
      </c>
      <c r="BC43" s="15">
        <f t="shared" si="27"/>
        <v>29</v>
      </c>
      <c r="BD43" s="12"/>
      <c r="BE43" s="12"/>
      <c r="BF43" s="12"/>
      <c r="BG43" s="12"/>
      <c r="BH43" s="12"/>
    </row>
    <row r="44" spans="1:60" ht="28.5" customHeight="1">
      <c r="A44" s="129"/>
      <c r="B44" s="20">
        <v>36</v>
      </c>
      <c r="C44" s="13" t="s">
        <v>77</v>
      </c>
      <c r="D44" s="56">
        <v>5</v>
      </c>
      <c r="E44" s="41" t="s">
        <v>26</v>
      </c>
      <c r="F44" s="16" t="s">
        <v>23</v>
      </c>
      <c r="G44" s="16" t="s">
        <v>15</v>
      </c>
      <c r="H44" s="16" t="s">
        <v>16</v>
      </c>
      <c r="I44" s="16" t="s">
        <v>17</v>
      </c>
      <c r="J44" s="17"/>
      <c r="K44" s="42"/>
      <c r="L44" s="51" t="s">
        <v>23</v>
      </c>
      <c r="M44" s="28" t="s">
        <v>17</v>
      </c>
      <c r="N44" s="28" t="s">
        <v>26</v>
      </c>
      <c r="O44" s="16" t="s">
        <v>20</v>
      </c>
      <c r="P44" s="16" t="s">
        <v>15</v>
      </c>
      <c r="Q44" s="16" t="s">
        <v>19</v>
      </c>
      <c r="R44" s="43" t="s">
        <v>19</v>
      </c>
      <c r="S44" s="41" t="s">
        <v>15</v>
      </c>
      <c r="T44" s="16" t="s">
        <v>22</v>
      </c>
      <c r="U44" s="16" t="s">
        <v>21</v>
      </c>
      <c r="V44" s="16" t="s">
        <v>21</v>
      </c>
      <c r="W44" s="16" t="s">
        <v>18</v>
      </c>
      <c r="X44" s="17"/>
      <c r="Y44" s="42"/>
      <c r="Z44" s="41" t="s">
        <v>16</v>
      </c>
      <c r="AA44" s="16" t="s">
        <v>23</v>
      </c>
      <c r="AB44" s="16" t="s">
        <v>15</v>
      </c>
      <c r="AC44" s="16" t="s">
        <v>17</v>
      </c>
      <c r="AD44" s="16" t="s">
        <v>18</v>
      </c>
      <c r="AE44" s="17"/>
      <c r="AF44" s="42"/>
      <c r="AG44" s="51" t="s">
        <v>15</v>
      </c>
      <c r="AH44" s="28" t="s">
        <v>24</v>
      </c>
      <c r="AI44" s="28" t="s">
        <v>16</v>
      </c>
      <c r="AJ44" s="28" t="s">
        <v>20</v>
      </c>
      <c r="AK44" s="28" t="s">
        <v>27</v>
      </c>
      <c r="AL44" s="28" t="s">
        <v>27</v>
      </c>
      <c r="AM44" s="53" t="s">
        <v>23</v>
      </c>
      <c r="AN44" s="44"/>
      <c r="AO44" s="24"/>
      <c r="AP44" s="19">
        <f t="shared" si="15"/>
        <v>5</v>
      </c>
      <c r="AQ44" s="19">
        <f t="shared" si="16"/>
        <v>3</v>
      </c>
      <c r="AR44" s="19">
        <f t="shared" si="17"/>
        <v>3</v>
      </c>
      <c r="AS44" s="19">
        <f t="shared" si="18"/>
        <v>2</v>
      </c>
      <c r="AT44" s="19">
        <f t="shared" si="28"/>
        <v>2</v>
      </c>
      <c r="AU44" s="19">
        <f t="shared" si="19"/>
        <v>2</v>
      </c>
      <c r="AV44" s="19">
        <f t="shared" si="20"/>
        <v>2</v>
      </c>
      <c r="AW44" s="19">
        <f t="shared" si="21"/>
        <v>1</v>
      </c>
      <c r="AX44" s="19">
        <f t="shared" si="22"/>
        <v>4</v>
      </c>
      <c r="AY44" s="19">
        <f t="shared" si="23"/>
        <v>1</v>
      </c>
      <c r="AZ44" s="19">
        <f t="shared" si="24"/>
        <v>0</v>
      </c>
      <c r="BA44" s="19">
        <f t="shared" si="25"/>
        <v>2</v>
      </c>
      <c r="BB44" s="19">
        <f t="shared" si="26"/>
        <v>2</v>
      </c>
      <c r="BC44" s="15">
        <f t="shared" si="27"/>
        <v>29</v>
      </c>
      <c r="BD44" s="12"/>
      <c r="BE44" s="12"/>
      <c r="BF44" s="12"/>
      <c r="BG44" s="12"/>
      <c r="BH44" s="12"/>
    </row>
    <row r="45" spans="1:60" ht="28.5" customHeight="1">
      <c r="A45" s="140">
        <v>12</v>
      </c>
      <c r="B45" s="20">
        <v>37</v>
      </c>
      <c r="C45" s="13" t="s">
        <v>78</v>
      </c>
      <c r="D45" s="56">
        <v>5</v>
      </c>
      <c r="E45" s="41" t="s">
        <v>26</v>
      </c>
      <c r="F45" s="80" t="s">
        <v>25</v>
      </c>
      <c r="G45" s="16" t="s">
        <v>15</v>
      </c>
      <c r="H45" s="16" t="s">
        <v>16</v>
      </c>
      <c r="I45" s="16" t="s">
        <v>17</v>
      </c>
      <c r="J45" s="17"/>
      <c r="K45" s="42"/>
      <c r="L45" s="51" t="s">
        <v>23</v>
      </c>
      <c r="M45" s="28" t="s">
        <v>17</v>
      </c>
      <c r="N45" s="28" t="s">
        <v>26</v>
      </c>
      <c r="O45" s="16" t="s">
        <v>20</v>
      </c>
      <c r="P45" s="16" t="s">
        <v>15</v>
      </c>
      <c r="Q45" s="16" t="s">
        <v>19</v>
      </c>
      <c r="R45" s="43" t="s">
        <v>19</v>
      </c>
      <c r="S45" s="41" t="s">
        <v>15</v>
      </c>
      <c r="T45" s="16" t="s">
        <v>22</v>
      </c>
      <c r="U45" s="16" t="s">
        <v>21</v>
      </c>
      <c r="V45" s="16" t="s">
        <v>21</v>
      </c>
      <c r="W45" s="16" t="s">
        <v>18</v>
      </c>
      <c r="X45" s="17"/>
      <c r="Y45" s="42"/>
      <c r="Z45" s="41" t="s">
        <v>16</v>
      </c>
      <c r="AA45" s="16" t="s">
        <v>23</v>
      </c>
      <c r="AB45" s="16" t="s">
        <v>15</v>
      </c>
      <c r="AC45" s="16" t="s">
        <v>17</v>
      </c>
      <c r="AD45" s="16" t="s">
        <v>18</v>
      </c>
      <c r="AE45" s="17"/>
      <c r="AF45" s="42"/>
      <c r="AG45" s="51" t="s">
        <v>15</v>
      </c>
      <c r="AH45" s="28" t="s">
        <v>24</v>
      </c>
      <c r="AI45" s="28" t="s">
        <v>16</v>
      </c>
      <c r="AJ45" s="28" t="s">
        <v>20</v>
      </c>
      <c r="AK45" s="28" t="s">
        <v>27</v>
      </c>
      <c r="AL45" s="28" t="s">
        <v>27</v>
      </c>
      <c r="AM45" s="53" t="s">
        <v>23</v>
      </c>
      <c r="AN45" s="44"/>
      <c r="AO45" s="24"/>
      <c r="AP45" s="19">
        <f t="shared" si="15"/>
        <v>5</v>
      </c>
      <c r="AQ45" s="19">
        <f t="shared" si="16"/>
        <v>3</v>
      </c>
      <c r="AR45" s="19">
        <f t="shared" si="17"/>
        <v>3</v>
      </c>
      <c r="AS45" s="19">
        <f t="shared" si="18"/>
        <v>2</v>
      </c>
      <c r="AT45" s="19">
        <f t="shared" si="28"/>
        <v>2</v>
      </c>
      <c r="AU45" s="19">
        <f t="shared" si="19"/>
        <v>2</v>
      </c>
      <c r="AV45" s="19">
        <f t="shared" si="20"/>
        <v>2</v>
      </c>
      <c r="AW45" s="19">
        <f t="shared" si="21"/>
        <v>1</v>
      </c>
      <c r="AX45" s="19">
        <f t="shared" si="22"/>
        <v>3</v>
      </c>
      <c r="AY45" s="19">
        <f t="shared" si="23"/>
        <v>1</v>
      </c>
      <c r="AZ45" s="19">
        <f t="shared" si="24"/>
        <v>1</v>
      </c>
      <c r="BA45" s="19">
        <f t="shared" si="25"/>
        <v>2</v>
      </c>
      <c r="BB45" s="19">
        <f t="shared" si="26"/>
        <v>2</v>
      </c>
      <c r="BC45" s="15">
        <f t="shared" si="27"/>
        <v>29</v>
      </c>
      <c r="BD45" s="12"/>
      <c r="BE45" s="12"/>
      <c r="BF45" s="12"/>
      <c r="BG45" s="12"/>
      <c r="BH45" s="12"/>
    </row>
    <row r="46" spans="1:60" ht="28.5" customHeight="1">
      <c r="A46" s="129"/>
      <c r="B46" s="20">
        <v>38</v>
      </c>
      <c r="C46" s="13" t="s">
        <v>79</v>
      </c>
      <c r="D46" s="56">
        <v>5</v>
      </c>
      <c r="E46" s="41" t="s">
        <v>26</v>
      </c>
      <c r="F46" s="16" t="s">
        <v>23</v>
      </c>
      <c r="G46" s="16" t="s">
        <v>15</v>
      </c>
      <c r="H46" s="16" t="s">
        <v>16</v>
      </c>
      <c r="I46" s="16" t="s">
        <v>17</v>
      </c>
      <c r="J46" s="17"/>
      <c r="K46" s="42"/>
      <c r="L46" s="51" t="s">
        <v>23</v>
      </c>
      <c r="M46" s="28" t="s">
        <v>17</v>
      </c>
      <c r="N46" s="28" t="s">
        <v>26</v>
      </c>
      <c r="O46" s="16" t="s">
        <v>20</v>
      </c>
      <c r="P46" s="16" t="s">
        <v>15</v>
      </c>
      <c r="Q46" s="81" t="s">
        <v>22</v>
      </c>
      <c r="R46" s="43" t="s">
        <v>19</v>
      </c>
      <c r="S46" s="41" t="s">
        <v>15</v>
      </c>
      <c r="T46" s="16" t="s">
        <v>22</v>
      </c>
      <c r="U46" s="81" t="s">
        <v>27</v>
      </c>
      <c r="V46" s="81" t="s">
        <v>27</v>
      </c>
      <c r="W46" s="16" t="s">
        <v>18</v>
      </c>
      <c r="X46" s="17"/>
      <c r="Y46" s="42"/>
      <c r="Z46" s="41" t="s">
        <v>16</v>
      </c>
      <c r="AA46" s="16" t="s">
        <v>23</v>
      </c>
      <c r="AB46" s="16" t="s">
        <v>15</v>
      </c>
      <c r="AC46" s="16" t="s">
        <v>17</v>
      </c>
      <c r="AD46" s="16" t="s">
        <v>18</v>
      </c>
      <c r="AE46" s="17"/>
      <c r="AF46" s="42"/>
      <c r="AG46" s="51" t="s">
        <v>15</v>
      </c>
      <c r="AH46" s="28" t="s">
        <v>24</v>
      </c>
      <c r="AI46" s="28" t="s">
        <v>16</v>
      </c>
      <c r="AJ46" s="28" t="s">
        <v>20</v>
      </c>
      <c r="AK46" s="28" t="s">
        <v>27</v>
      </c>
      <c r="AL46" s="28" t="s">
        <v>27</v>
      </c>
      <c r="AM46" s="53" t="s">
        <v>23</v>
      </c>
      <c r="AN46" s="44"/>
      <c r="AO46" s="24"/>
      <c r="AP46" s="19">
        <f t="shared" si="15"/>
        <v>5</v>
      </c>
      <c r="AQ46" s="19">
        <f t="shared" si="16"/>
        <v>3</v>
      </c>
      <c r="AR46" s="19">
        <f t="shared" si="17"/>
        <v>3</v>
      </c>
      <c r="AS46" s="19">
        <f t="shared" si="18"/>
        <v>2</v>
      </c>
      <c r="AT46" s="19">
        <f t="shared" si="28"/>
        <v>1</v>
      </c>
      <c r="AU46" s="19">
        <f t="shared" si="19"/>
        <v>2</v>
      </c>
      <c r="AV46" s="19">
        <f t="shared" si="20"/>
        <v>0</v>
      </c>
      <c r="AW46" s="19">
        <f t="shared" si="21"/>
        <v>2</v>
      </c>
      <c r="AX46" s="19">
        <f t="shared" si="22"/>
        <v>4</v>
      </c>
      <c r="AY46" s="19">
        <f t="shared" si="23"/>
        <v>1</v>
      </c>
      <c r="AZ46" s="19">
        <f t="shared" si="24"/>
        <v>0</v>
      </c>
      <c r="BA46" s="19">
        <f t="shared" si="25"/>
        <v>2</v>
      </c>
      <c r="BB46" s="19">
        <f t="shared" si="26"/>
        <v>4</v>
      </c>
      <c r="BC46" s="15">
        <f t="shared" si="27"/>
        <v>29</v>
      </c>
      <c r="BD46" s="12"/>
      <c r="BE46" s="12"/>
      <c r="BF46" s="12"/>
      <c r="BG46" s="12"/>
      <c r="BH46" s="12"/>
    </row>
    <row r="47" spans="1:60" ht="28.5" customHeight="1">
      <c r="A47" s="129"/>
      <c r="B47" s="20">
        <v>39</v>
      </c>
      <c r="C47" s="13" t="s">
        <v>80</v>
      </c>
      <c r="D47" s="56">
        <v>5</v>
      </c>
      <c r="E47" s="41" t="s">
        <v>26</v>
      </c>
      <c r="F47" s="16" t="s">
        <v>23</v>
      </c>
      <c r="G47" s="16" t="s">
        <v>15</v>
      </c>
      <c r="H47" s="16" t="s">
        <v>16</v>
      </c>
      <c r="I47" s="81" t="s">
        <v>24</v>
      </c>
      <c r="J47" s="17"/>
      <c r="K47" s="42"/>
      <c r="L47" s="51" t="s">
        <v>23</v>
      </c>
      <c r="M47" s="84" t="s">
        <v>23</v>
      </c>
      <c r="N47" s="28" t="s">
        <v>26</v>
      </c>
      <c r="O47" s="16" t="s">
        <v>20</v>
      </c>
      <c r="P47" s="16" t="s">
        <v>15</v>
      </c>
      <c r="Q47" s="81" t="s">
        <v>22</v>
      </c>
      <c r="R47" s="43" t="s">
        <v>19</v>
      </c>
      <c r="S47" s="41" t="s">
        <v>15</v>
      </c>
      <c r="T47" s="16" t="s">
        <v>22</v>
      </c>
      <c r="U47" s="81" t="s">
        <v>27</v>
      </c>
      <c r="V47" s="81" t="s">
        <v>27</v>
      </c>
      <c r="W47" s="81" t="s">
        <v>22</v>
      </c>
      <c r="X47" s="17"/>
      <c r="Y47" s="42"/>
      <c r="Z47" s="41" t="s">
        <v>16</v>
      </c>
      <c r="AA47" s="16" t="s">
        <v>23</v>
      </c>
      <c r="AB47" s="81" t="s">
        <v>20</v>
      </c>
      <c r="AC47" s="16" t="s">
        <v>17</v>
      </c>
      <c r="AD47" s="81" t="s">
        <v>22</v>
      </c>
      <c r="AE47" s="17"/>
      <c r="AF47" s="42"/>
      <c r="AG47" s="85" t="s">
        <v>23</v>
      </c>
      <c r="AH47" s="28" t="s">
        <v>24</v>
      </c>
      <c r="AI47" s="28" t="s">
        <v>16</v>
      </c>
      <c r="AJ47" s="28" t="s">
        <v>20</v>
      </c>
      <c r="AK47" s="28" t="s">
        <v>27</v>
      </c>
      <c r="AL47" s="28" t="s">
        <v>27</v>
      </c>
      <c r="AM47" s="53" t="s">
        <v>23</v>
      </c>
      <c r="AN47" s="44"/>
      <c r="AO47" s="24"/>
      <c r="AP47" s="19">
        <f t="shared" si="15"/>
        <v>3</v>
      </c>
      <c r="AQ47" s="19">
        <f t="shared" si="16"/>
        <v>3</v>
      </c>
      <c r="AR47" s="19">
        <f t="shared" si="17"/>
        <v>1</v>
      </c>
      <c r="AS47" s="19">
        <f t="shared" si="18"/>
        <v>0</v>
      </c>
      <c r="AT47" s="19">
        <f t="shared" si="28"/>
        <v>1</v>
      </c>
      <c r="AU47" s="19">
        <f t="shared" si="19"/>
        <v>3</v>
      </c>
      <c r="AV47" s="19">
        <f t="shared" si="20"/>
        <v>0</v>
      </c>
      <c r="AW47" s="19">
        <f t="shared" si="21"/>
        <v>4</v>
      </c>
      <c r="AX47" s="19">
        <f t="shared" si="22"/>
        <v>6</v>
      </c>
      <c r="AY47" s="19">
        <f t="shared" si="23"/>
        <v>2</v>
      </c>
      <c r="AZ47" s="19">
        <f t="shared" si="24"/>
        <v>0</v>
      </c>
      <c r="BA47" s="19">
        <f t="shared" si="25"/>
        <v>2</v>
      </c>
      <c r="BB47" s="19">
        <f t="shared" si="26"/>
        <v>4</v>
      </c>
      <c r="BC47" s="15">
        <f t="shared" si="27"/>
        <v>29</v>
      </c>
      <c r="BD47" s="12"/>
      <c r="BE47" s="12"/>
      <c r="BF47" s="12"/>
      <c r="BG47" s="12"/>
      <c r="BH47" s="12"/>
    </row>
    <row r="48" spans="1:60" ht="28.5" customHeight="1">
      <c r="A48" s="129"/>
      <c r="B48" s="20">
        <v>40</v>
      </c>
      <c r="C48" s="13" t="s">
        <v>81</v>
      </c>
      <c r="D48" s="56">
        <v>4</v>
      </c>
      <c r="E48" s="41" t="s">
        <v>26</v>
      </c>
      <c r="F48" s="16" t="s">
        <v>23</v>
      </c>
      <c r="G48" s="81" t="s">
        <v>20</v>
      </c>
      <c r="H48" s="16" t="s">
        <v>16</v>
      </c>
      <c r="I48" s="81" t="s">
        <v>26</v>
      </c>
      <c r="J48" s="17"/>
      <c r="K48" s="42"/>
      <c r="L48" s="51" t="s">
        <v>23</v>
      </c>
      <c r="M48" s="84" t="s">
        <v>23</v>
      </c>
      <c r="N48" s="28" t="s">
        <v>26</v>
      </c>
      <c r="O48" s="16" t="s">
        <v>20</v>
      </c>
      <c r="P48" s="16" t="s">
        <v>15</v>
      </c>
      <c r="Q48" s="81" t="s">
        <v>22</v>
      </c>
      <c r="R48" s="86" t="s">
        <v>27</v>
      </c>
      <c r="S48" s="41" t="s">
        <v>15</v>
      </c>
      <c r="T48" s="16" t="s">
        <v>22</v>
      </c>
      <c r="U48" s="81" t="s">
        <v>27</v>
      </c>
      <c r="V48" s="81" t="s">
        <v>27</v>
      </c>
      <c r="W48" s="81" t="s">
        <v>22</v>
      </c>
      <c r="X48" s="17"/>
      <c r="Y48" s="42"/>
      <c r="Z48" s="41" t="s">
        <v>16</v>
      </c>
      <c r="AA48" s="16" t="s">
        <v>23</v>
      </c>
      <c r="AB48" s="81" t="s">
        <v>20</v>
      </c>
      <c r="AC48" s="16" t="s">
        <v>17</v>
      </c>
      <c r="AD48" s="81" t="s">
        <v>22</v>
      </c>
      <c r="AE48" s="17"/>
      <c r="AF48" s="42"/>
      <c r="AG48" s="142" t="s">
        <v>82</v>
      </c>
      <c r="AH48" s="192"/>
      <c r="AI48" s="192"/>
      <c r="AJ48" s="192"/>
      <c r="AK48" s="192"/>
      <c r="AL48" s="192"/>
      <c r="AM48" s="193"/>
      <c r="AN48" s="44"/>
      <c r="AO48" s="24"/>
      <c r="AP48" s="19">
        <f t="shared" si="15"/>
        <v>2</v>
      </c>
      <c r="AQ48" s="19">
        <f t="shared" si="16"/>
        <v>2</v>
      </c>
      <c r="AR48" s="19">
        <f t="shared" si="17"/>
        <v>1</v>
      </c>
      <c r="AS48" s="19">
        <f t="shared" si="18"/>
        <v>0</v>
      </c>
      <c r="AT48" s="19">
        <f t="shared" si="28"/>
        <v>0</v>
      </c>
      <c r="AU48" s="19">
        <f t="shared" si="19"/>
        <v>3</v>
      </c>
      <c r="AV48" s="19">
        <f t="shared" si="20"/>
        <v>0</v>
      </c>
      <c r="AW48" s="19">
        <f t="shared" si="21"/>
        <v>4</v>
      </c>
      <c r="AX48" s="19">
        <f t="shared" si="22"/>
        <v>4</v>
      </c>
      <c r="AY48" s="19">
        <f t="shared" si="23"/>
        <v>0</v>
      </c>
      <c r="AZ48" s="19">
        <f t="shared" si="24"/>
        <v>0</v>
      </c>
      <c r="BA48" s="19">
        <f t="shared" si="25"/>
        <v>3</v>
      </c>
      <c r="BB48" s="19">
        <f t="shared" si="26"/>
        <v>3</v>
      </c>
      <c r="BC48" s="15">
        <f t="shared" si="27"/>
        <v>22</v>
      </c>
      <c r="BD48" s="12"/>
      <c r="BE48" s="12"/>
      <c r="BF48" s="12"/>
      <c r="BG48" s="12"/>
      <c r="BH48" s="12"/>
    </row>
    <row r="49" spans="1:68" ht="28.5" customHeight="1">
      <c r="A49" s="143"/>
      <c r="B49" s="55">
        <v>41</v>
      </c>
      <c r="C49" s="30" t="s">
        <v>83</v>
      </c>
      <c r="D49" s="59">
        <v>4</v>
      </c>
      <c r="E49" s="41" t="s">
        <v>26</v>
      </c>
      <c r="F49" s="80" t="s">
        <v>25</v>
      </c>
      <c r="G49" s="81" t="s">
        <v>20</v>
      </c>
      <c r="H49" s="81" t="s">
        <v>26</v>
      </c>
      <c r="I49" s="81" t="s">
        <v>23</v>
      </c>
      <c r="J49" s="27"/>
      <c r="K49" s="60"/>
      <c r="L49" s="51" t="s">
        <v>23</v>
      </c>
      <c r="M49" s="84" t="s">
        <v>23</v>
      </c>
      <c r="N49" s="28" t="s">
        <v>26</v>
      </c>
      <c r="O49" s="16" t="s">
        <v>20</v>
      </c>
      <c r="P49" s="16" t="s">
        <v>15</v>
      </c>
      <c r="Q49" s="81" t="s">
        <v>22</v>
      </c>
      <c r="R49" s="86" t="s">
        <v>27</v>
      </c>
      <c r="S49" s="41" t="s">
        <v>15</v>
      </c>
      <c r="T49" s="16" t="s">
        <v>22</v>
      </c>
      <c r="U49" s="81" t="s">
        <v>27</v>
      </c>
      <c r="V49" s="81" t="s">
        <v>27</v>
      </c>
      <c r="W49" s="81" t="s">
        <v>22</v>
      </c>
      <c r="X49" s="27"/>
      <c r="Y49" s="60"/>
      <c r="Z49" s="87" t="s">
        <v>26</v>
      </c>
      <c r="AA49" s="26" t="s">
        <v>23</v>
      </c>
      <c r="AB49" s="88" t="s">
        <v>20</v>
      </c>
      <c r="AC49" s="26" t="s">
        <v>17</v>
      </c>
      <c r="AD49" s="61" t="s">
        <v>84</v>
      </c>
      <c r="AE49" s="62"/>
      <c r="AF49" s="63"/>
      <c r="AG49" s="51"/>
      <c r="AH49" s="28"/>
      <c r="AI49" s="28"/>
      <c r="AJ49" s="28"/>
      <c r="AK49" s="28"/>
      <c r="AL49" s="28"/>
      <c r="AM49" s="53"/>
      <c r="AN49" s="66"/>
      <c r="AO49" s="24"/>
      <c r="AP49" s="19">
        <f t="shared" si="15"/>
        <v>2</v>
      </c>
      <c r="AQ49" s="19">
        <f t="shared" si="16"/>
        <v>0</v>
      </c>
      <c r="AR49" s="19">
        <f t="shared" si="17"/>
        <v>1</v>
      </c>
      <c r="AS49" s="19">
        <f t="shared" si="18"/>
        <v>0</v>
      </c>
      <c r="AT49" s="19">
        <f t="shared" si="28"/>
        <v>0</v>
      </c>
      <c r="AU49" s="19">
        <f t="shared" si="19"/>
        <v>3</v>
      </c>
      <c r="AV49" s="19">
        <f t="shared" si="20"/>
        <v>0</v>
      </c>
      <c r="AW49" s="19">
        <f t="shared" si="21"/>
        <v>3</v>
      </c>
      <c r="AX49" s="19">
        <f t="shared" si="22"/>
        <v>4</v>
      </c>
      <c r="AY49" s="19">
        <f t="shared" si="23"/>
        <v>0</v>
      </c>
      <c r="AZ49" s="19">
        <f t="shared" si="24"/>
        <v>1</v>
      </c>
      <c r="BA49" s="19">
        <f t="shared" si="25"/>
        <v>4</v>
      </c>
      <c r="BB49" s="19">
        <f t="shared" si="26"/>
        <v>3</v>
      </c>
      <c r="BC49" s="15">
        <f t="shared" si="27"/>
        <v>21</v>
      </c>
      <c r="BD49" s="12"/>
      <c r="BE49" s="12"/>
      <c r="BF49" s="12"/>
      <c r="BG49" s="12"/>
      <c r="BH49" s="12"/>
    </row>
    <row r="50" spans="1:68" ht="28.5" customHeight="1">
      <c r="A50" s="145" t="s">
        <v>85</v>
      </c>
      <c r="B50" s="176"/>
      <c r="C50" s="194"/>
      <c r="D50" s="67">
        <f>SUM(D30:D49)</f>
        <v>92</v>
      </c>
      <c r="E50" s="145">
        <v>18</v>
      </c>
      <c r="F50" s="176"/>
      <c r="G50" s="176"/>
      <c r="H50" s="176"/>
      <c r="I50" s="176"/>
      <c r="J50" s="176"/>
      <c r="K50" s="177"/>
      <c r="L50" s="145">
        <v>20</v>
      </c>
      <c r="M50" s="176"/>
      <c r="N50" s="176"/>
      <c r="O50" s="176"/>
      <c r="P50" s="176"/>
      <c r="Q50" s="176"/>
      <c r="R50" s="177"/>
      <c r="S50" s="145">
        <v>19</v>
      </c>
      <c r="T50" s="176"/>
      <c r="U50" s="176"/>
      <c r="V50" s="176"/>
      <c r="W50" s="176"/>
      <c r="X50" s="176"/>
      <c r="Y50" s="177"/>
      <c r="Z50" s="145">
        <v>19</v>
      </c>
      <c r="AA50" s="176"/>
      <c r="AB50" s="176"/>
      <c r="AC50" s="176"/>
      <c r="AD50" s="176"/>
      <c r="AE50" s="176"/>
      <c r="AF50" s="177"/>
      <c r="AG50" s="145">
        <v>16</v>
      </c>
      <c r="AH50" s="176"/>
      <c r="AI50" s="176"/>
      <c r="AJ50" s="176"/>
      <c r="AK50" s="176"/>
      <c r="AL50" s="176"/>
      <c r="AM50" s="177"/>
      <c r="AN50" s="68">
        <f t="shared" ref="AN50:AN52" si="29">SUM(E50:AM50)</f>
        <v>92</v>
      </c>
      <c r="AO50" s="21"/>
      <c r="AP50" s="19">
        <f t="shared" si="15"/>
        <v>0</v>
      </c>
      <c r="AQ50" s="19">
        <f t="shared" si="16"/>
        <v>0</v>
      </c>
      <c r="AR50" s="19">
        <f t="shared" si="17"/>
        <v>0</v>
      </c>
      <c r="AS50" s="19">
        <f t="shared" si="18"/>
        <v>0</v>
      </c>
      <c r="AT50" s="19">
        <f t="shared" si="28"/>
        <v>0</v>
      </c>
      <c r="AU50" s="19">
        <f t="shared" si="19"/>
        <v>0</v>
      </c>
      <c r="AV50" s="19">
        <f t="shared" si="20"/>
        <v>0</v>
      </c>
      <c r="AW50" s="19">
        <f t="shared" si="21"/>
        <v>0</v>
      </c>
      <c r="AX50" s="19">
        <f t="shared" si="22"/>
        <v>0</v>
      </c>
      <c r="AY50" s="19">
        <f t="shared" si="23"/>
        <v>0</v>
      </c>
      <c r="AZ50" s="19">
        <f t="shared" si="24"/>
        <v>0</v>
      </c>
      <c r="BA50" s="19">
        <f t="shared" si="25"/>
        <v>0</v>
      </c>
      <c r="BB50" s="19">
        <f t="shared" si="26"/>
        <v>0</v>
      </c>
      <c r="BC50" s="15">
        <f t="shared" si="27"/>
        <v>0</v>
      </c>
      <c r="BD50" s="12"/>
      <c r="BE50" s="12"/>
      <c r="BF50" s="12"/>
      <c r="BG50" s="12"/>
      <c r="BH50" s="12"/>
    </row>
    <row r="51" spans="1:68" ht="28.5" customHeight="1">
      <c r="A51" s="146" t="s">
        <v>86</v>
      </c>
      <c r="B51" s="192"/>
      <c r="C51" s="195"/>
      <c r="D51" s="147">
        <f t="shared" ref="D51:E51" si="30">D26+D50</f>
        <v>190</v>
      </c>
      <c r="E51" s="148">
        <f t="shared" si="30"/>
        <v>36</v>
      </c>
      <c r="F51" s="187"/>
      <c r="G51" s="187"/>
      <c r="H51" s="187"/>
      <c r="I51" s="187"/>
      <c r="J51" s="187"/>
      <c r="K51" s="188"/>
      <c r="L51" s="144">
        <f>L26+L50</f>
        <v>40</v>
      </c>
      <c r="M51" s="183"/>
      <c r="N51" s="183"/>
      <c r="O51" s="183"/>
      <c r="P51" s="183"/>
      <c r="Q51" s="183"/>
      <c r="R51" s="184"/>
      <c r="S51" s="148">
        <f>S26+S50</f>
        <v>39</v>
      </c>
      <c r="T51" s="187"/>
      <c r="U51" s="187"/>
      <c r="V51" s="187"/>
      <c r="W51" s="187"/>
      <c r="X51" s="187"/>
      <c r="Y51" s="188"/>
      <c r="Z51" s="148">
        <f>Z26+Z50</f>
        <v>40</v>
      </c>
      <c r="AA51" s="187"/>
      <c r="AB51" s="187"/>
      <c r="AC51" s="187"/>
      <c r="AD51" s="187"/>
      <c r="AE51" s="187"/>
      <c r="AF51" s="188"/>
      <c r="AG51" s="148">
        <f>AG26+AG50</f>
        <v>35</v>
      </c>
      <c r="AH51" s="187"/>
      <c r="AI51" s="187"/>
      <c r="AJ51" s="187"/>
      <c r="AK51" s="187"/>
      <c r="AL51" s="187"/>
      <c r="AM51" s="188"/>
      <c r="AN51" s="57">
        <f t="shared" si="29"/>
        <v>190</v>
      </c>
      <c r="AO51" s="21"/>
      <c r="AP51" s="15">
        <f t="shared" ref="AP51:BB51" si="31">SUM(AP30:AP50)</f>
        <v>85</v>
      </c>
      <c r="AQ51" s="15">
        <f t="shared" si="31"/>
        <v>51</v>
      </c>
      <c r="AR51" s="15">
        <f t="shared" si="31"/>
        <v>51</v>
      </c>
      <c r="AS51" s="15">
        <f t="shared" si="31"/>
        <v>32</v>
      </c>
      <c r="AT51" s="15">
        <f t="shared" si="31"/>
        <v>32</v>
      </c>
      <c r="AU51" s="15">
        <f t="shared" si="31"/>
        <v>41</v>
      </c>
      <c r="AV51" s="15">
        <f t="shared" si="31"/>
        <v>30</v>
      </c>
      <c r="AW51" s="15">
        <f t="shared" si="31"/>
        <v>28</v>
      </c>
      <c r="AX51" s="15">
        <f t="shared" si="31"/>
        <v>74</v>
      </c>
      <c r="AY51" s="15">
        <f t="shared" si="31"/>
        <v>17</v>
      </c>
      <c r="AZ51" s="15">
        <f t="shared" si="31"/>
        <v>4</v>
      </c>
      <c r="BA51" s="15">
        <f t="shared" si="31"/>
        <v>41</v>
      </c>
      <c r="BB51" s="15">
        <f t="shared" si="31"/>
        <v>42</v>
      </c>
      <c r="BC51" s="15">
        <f t="shared" si="27"/>
        <v>528</v>
      </c>
      <c r="BD51" s="12"/>
      <c r="BE51" s="12"/>
      <c r="BF51" s="12"/>
      <c r="BG51" s="12"/>
      <c r="BH51" s="12"/>
    </row>
    <row r="52" spans="1:68" ht="28.5" customHeight="1">
      <c r="A52" s="196"/>
      <c r="B52" s="197"/>
      <c r="C52" s="198"/>
      <c r="D52" s="181"/>
      <c r="E52" s="149">
        <f>E51*5</f>
        <v>180</v>
      </c>
      <c r="F52" s="199"/>
      <c r="G52" s="199"/>
      <c r="H52" s="199"/>
      <c r="I52" s="199"/>
      <c r="J52" s="199"/>
      <c r="K52" s="200"/>
      <c r="L52" s="150">
        <f>L51*7-7</f>
        <v>273</v>
      </c>
      <c r="M52" s="197"/>
      <c r="N52" s="197"/>
      <c r="O52" s="197"/>
      <c r="P52" s="197"/>
      <c r="Q52" s="197"/>
      <c r="R52" s="182"/>
      <c r="S52" s="149">
        <f>S51*5</f>
        <v>195</v>
      </c>
      <c r="T52" s="199"/>
      <c r="U52" s="199"/>
      <c r="V52" s="199"/>
      <c r="W52" s="199"/>
      <c r="X52" s="199"/>
      <c r="Y52" s="200"/>
      <c r="Z52" s="149">
        <f>Z51*5-1</f>
        <v>199</v>
      </c>
      <c r="AA52" s="199"/>
      <c r="AB52" s="199"/>
      <c r="AC52" s="199"/>
      <c r="AD52" s="199"/>
      <c r="AE52" s="199"/>
      <c r="AF52" s="200"/>
      <c r="AG52" s="149">
        <f>AG51*7-3</f>
        <v>242</v>
      </c>
      <c r="AH52" s="199"/>
      <c r="AI52" s="199"/>
      <c r="AJ52" s="199"/>
      <c r="AK52" s="199"/>
      <c r="AL52" s="199"/>
      <c r="AM52" s="200"/>
      <c r="AN52" s="58">
        <f t="shared" si="29"/>
        <v>1089</v>
      </c>
      <c r="AO52" s="21"/>
      <c r="AP52" s="25">
        <f t="shared" ref="AP52:BC52" si="32">SUM(AP26+AP51)</f>
        <v>170</v>
      </c>
      <c r="AQ52" s="25">
        <f t="shared" si="32"/>
        <v>102</v>
      </c>
      <c r="AR52" s="25">
        <f t="shared" si="32"/>
        <v>102</v>
      </c>
      <c r="AS52" s="25">
        <f t="shared" si="32"/>
        <v>68</v>
      </c>
      <c r="AT52" s="25">
        <f t="shared" si="32"/>
        <v>68</v>
      </c>
      <c r="AU52" s="25">
        <f t="shared" si="32"/>
        <v>85</v>
      </c>
      <c r="AV52" s="25">
        <f t="shared" si="32"/>
        <v>60</v>
      </c>
      <c r="AW52" s="25">
        <f t="shared" si="32"/>
        <v>60</v>
      </c>
      <c r="AX52" s="25">
        <f t="shared" si="32"/>
        <v>162</v>
      </c>
      <c r="AY52" s="25">
        <f t="shared" si="32"/>
        <v>34</v>
      </c>
      <c r="AZ52" s="25">
        <f t="shared" si="32"/>
        <v>8</v>
      </c>
      <c r="BA52" s="25">
        <f t="shared" si="32"/>
        <v>85</v>
      </c>
      <c r="BB52" s="25">
        <f t="shared" si="32"/>
        <v>85</v>
      </c>
      <c r="BC52" s="25">
        <f t="shared" si="32"/>
        <v>1089</v>
      </c>
      <c r="BD52" s="12"/>
      <c r="BE52" s="12"/>
      <c r="BF52" s="12"/>
      <c r="BG52" s="12"/>
      <c r="BH52" s="12"/>
    </row>
    <row r="53" spans="1:68" ht="15.75" customHeight="1">
      <c r="A53" s="10"/>
      <c r="B53" s="10"/>
      <c r="C53" s="24"/>
      <c r="D53" s="10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  <c r="AJ53" s="24"/>
      <c r="AK53" s="24"/>
      <c r="AL53" s="24"/>
      <c r="AM53" s="24"/>
      <c r="AN53" s="24"/>
      <c r="AO53" s="24"/>
      <c r="AP53" s="24"/>
      <c r="AQ53" s="24"/>
      <c r="AR53" s="24"/>
      <c r="AS53" s="24"/>
      <c r="AT53" s="24"/>
      <c r="AU53" s="24"/>
      <c r="AV53" s="24"/>
      <c r="AW53" s="24"/>
      <c r="AX53" s="24"/>
      <c r="AY53" s="24"/>
      <c r="AZ53" s="24"/>
      <c r="BA53" s="12"/>
      <c r="BB53" s="12"/>
      <c r="BC53" s="12"/>
      <c r="BD53" s="12"/>
      <c r="BE53" s="12"/>
      <c r="BF53" s="12"/>
      <c r="BG53" s="12"/>
    </row>
    <row r="54" spans="1:68" ht="21" customHeight="1">
      <c r="A54" s="3"/>
      <c r="B54" s="3"/>
      <c r="C54" s="3"/>
      <c r="D54" s="151" t="s">
        <v>87</v>
      </c>
      <c r="E54" s="152" t="s">
        <v>88</v>
      </c>
      <c r="F54" s="201"/>
      <c r="G54" s="202"/>
      <c r="H54" s="152" t="s">
        <v>89</v>
      </c>
      <c r="I54" s="201"/>
      <c r="J54" s="202"/>
      <c r="K54" s="152" t="s">
        <v>90</v>
      </c>
      <c r="L54" s="201"/>
      <c r="M54" s="202"/>
      <c r="N54" s="152" t="s">
        <v>91</v>
      </c>
      <c r="O54" s="201"/>
      <c r="P54" s="202"/>
      <c r="Q54" s="152" t="s">
        <v>92</v>
      </c>
      <c r="R54" s="201"/>
      <c r="S54" s="202"/>
      <c r="T54" s="152" t="s">
        <v>93</v>
      </c>
      <c r="U54" s="201"/>
      <c r="V54" s="202"/>
      <c r="W54" s="152" t="s">
        <v>94</v>
      </c>
      <c r="X54" s="201"/>
      <c r="Y54" s="202"/>
      <c r="Z54" s="152" t="s">
        <v>95</v>
      </c>
      <c r="AA54" s="201"/>
      <c r="AB54" s="202"/>
      <c r="AC54" s="153" t="s">
        <v>96</v>
      </c>
      <c r="AD54" s="203"/>
      <c r="AE54" s="203"/>
      <c r="AF54" s="203"/>
      <c r="AG54" s="203"/>
      <c r="AH54" s="204"/>
      <c r="AI54" s="154" t="s">
        <v>97</v>
      </c>
      <c r="AJ54" s="203"/>
      <c r="AK54" s="203"/>
      <c r="AL54" s="204"/>
      <c r="AM54" s="155" t="s">
        <v>28</v>
      </c>
      <c r="AN54" s="202"/>
      <c r="AO54" s="156" t="s">
        <v>98</v>
      </c>
      <c r="AP54" s="205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</row>
    <row r="55" spans="1:68" ht="21" customHeight="1">
      <c r="A55" s="3"/>
      <c r="B55" s="3"/>
      <c r="C55" s="3"/>
      <c r="D55" s="206"/>
      <c r="E55" s="207"/>
      <c r="F55" s="208"/>
      <c r="G55" s="209"/>
      <c r="H55" s="207"/>
      <c r="I55" s="208"/>
      <c r="J55" s="209"/>
      <c r="K55" s="207"/>
      <c r="L55" s="208"/>
      <c r="M55" s="209"/>
      <c r="N55" s="207"/>
      <c r="O55" s="208"/>
      <c r="P55" s="209"/>
      <c r="Q55" s="207"/>
      <c r="R55" s="208"/>
      <c r="S55" s="209"/>
      <c r="T55" s="207"/>
      <c r="U55" s="208"/>
      <c r="V55" s="209"/>
      <c r="W55" s="207"/>
      <c r="X55" s="208"/>
      <c r="Y55" s="209"/>
      <c r="Z55" s="207"/>
      <c r="AA55" s="208"/>
      <c r="AB55" s="209"/>
      <c r="AC55" s="157" t="s">
        <v>99</v>
      </c>
      <c r="AD55" s="210"/>
      <c r="AE55" s="157" t="s">
        <v>100</v>
      </c>
      <c r="AF55" s="210"/>
      <c r="AG55" s="158" t="s">
        <v>101</v>
      </c>
      <c r="AH55" s="210"/>
      <c r="AI55" s="159" t="s">
        <v>102</v>
      </c>
      <c r="AJ55" s="210"/>
      <c r="AK55" s="158" t="s">
        <v>103</v>
      </c>
      <c r="AL55" s="211"/>
      <c r="AM55" s="207"/>
      <c r="AN55" s="209"/>
      <c r="AO55" s="212"/>
      <c r="AP55" s="21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</row>
    <row r="56" spans="1:68" ht="21" customHeight="1">
      <c r="A56" s="3"/>
      <c r="B56" s="3"/>
      <c r="C56" s="3"/>
      <c r="D56" s="39" t="s">
        <v>104</v>
      </c>
      <c r="E56" s="160">
        <v>170</v>
      </c>
      <c r="F56" s="214"/>
      <c r="G56" s="210"/>
      <c r="H56" s="160">
        <v>102</v>
      </c>
      <c r="I56" s="214"/>
      <c r="J56" s="210"/>
      <c r="K56" s="160">
        <v>102</v>
      </c>
      <c r="L56" s="214"/>
      <c r="M56" s="210"/>
      <c r="N56" s="160">
        <v>68</v>
      </c>
      <c r="O56" s="214"/>
      <c r="P56" s="210"/>
      <c r="Q56" s="160">
        <v>68</v>
      </c>
      <c r="R56" s="214"/>
      <c r="S56" s="210"/>
      <c r="T56" s="160">
        <v>85</v>
      </c>
      <c r="U56" s="214"/>
      <c r="V56" s="210"/>
      <c r="W56" s="160">
        <v>59</v>
      </c>
      <c r="X56" s="214"/>
      <c r="Y56" s="210"/>
      <c r="Z56" s="160">
        <v>60</v>
      </c>
      <c r="AA56" s="214"/>
      <c r="AB56" s="210"/>
      <c r="AC56" s="160">
        <v>162</v>
      </c>
      <c r="AD56" s="210"/>
      <c r="AE56" s="160">
        <v>34</v>
      </c>
      <c r="AF56" s="210"/>
      <c r="AG56" s="160">
        <v>8</v>
      </c>
      <c r="AH56" s="210"/>
      <c r="AI56" s="160">
        <v>85</v>
      </c>
      <c r="AJ56" s="210"/>
      <c r="AK56" s="160">
        <v>85</v>
      </c>
      <c r="AL56" s="210"/>
      <c r="AM56" s="160">
        <f t="shared" ref="AM56:AM58" si="33">SUM(E56:AL56)</f>
        <v>1088</v>
      </c>
      <c r="AN56" s="210"/>
      <c r="AO56" s="212"/>
      <c r="AP56" s="21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</row>
    <row r="57" spans="1:68" ht="21" customHeight="1">
      <c r="A57" s="3"/>
      <c r="B57" s="3"/>
      <c r="C57" s="3"/>
      <c r="D57" s="32" t="s">
        <v>105</v>
      </c>
      <c r="E57" s="161">
        <f>COUNTIF($E$5:$AM$25,"=국")</f>
        <v>85</v>
      </c>
      <c r="F57" s="187"/>
      <c r="G57" s="215"/>
      <c r="H57" s="161">
        <f>COUNTIF($E$5:$AM$25,"=수")</f>
        <v>51</v>
      </c>
      <c r="I57" s="187"/>
      <c r="J57" s="215"/>
      <c r="K57" s="161">
        <f>COUNTIF($E$5:$AM$25,"=사")</f>
        <v>51</v>
      </c>
      <c r="L57" s="187"/>
      <c r="M57" s="215"/>
      <c r="N57" s="162">
        <f>COUNTIF($E$5:$AM$25,"=과")</f>
        <v>36</v>
      </c>
      <c r="O57" s="216"/>
      <c r="P57" s="217"/>
      <c r="Q57" s="161">
        <f>COUNTIF($E$5:$AM$25,"=실")</f>
        <v>36</v>
      </c>
      <c r="R57" s="187"/>
      <c r="S57" s="215"/>
      <c r="T57" s="162">
        <f>COUNTIF($E$5:$AM$25,"=체")</f>
        <v>44</v>
      </c>
      <c r="U57" s="216"/>
      <c r="V57" s="217"/>
      <c r="W57" s="162">
        <f>COUNTIF($E$5:$AM$25,"=음")</f>
        <v>30</v>
      </c>
      <c r="X57" s="216"/>
      <c r="Y57" s="217"/>
      <c r="Z57" s="162">
        <f>COUNTIF($E$5:$AM$25,"=미")</f>
        <v>32</v>
      </c>
      <c r="AA57" s="216"/>
      <c r="AB57" s="217"/>
      <c r="AC57" s="161">
        <f>COUNTIF($E$5:$AM$25,"=자")</f>
        <v>88</v>
      </c>
      <c r="AD57" s="215"/>
      <c r="AE57" s="161">
        <f>COUNTIF($E$5:$AM$25,"=동")</f>
        <v>17</v>
      </c>
      <c r="AF57" s="215"/>
      <c r="AG57" s="161">
        <f>COUNTIF($E$5:$AM$25,"=진")</f>
        <v>4</v>
      </c>
      <c r="AH57" s="215"/>
      <c r="AI57" s="161">
        <f>COUNTIF($E$5:$AM$25,"=의")</f>
        <v>44</v>
      </c>
      <c r="AJ57" s="215"/>
      <c r="AK57" s="161">
        <f>COUNTIF($E$5:$AM$25,"=선")</f>
        <v>43</v>
      </c>
      <c r="AL57" s="215"/>
      <c r="AM57" s="161">
        <f t="shared" si="33"/>
        <v>561</v>
      </c>
      <c r="AN57" s="215"/>
      <c r="AO57" s="212"/>
      <c r="AP57" s="21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</row>
    <row r="58" spans="1:68" ht="21" customHeight="1">
      <c r="A58" s="3"/>
      <c r="B58" s="3"/>
      <c r="C58" s="3"/>
      <c r="D58" s="32" t="s">
        <v>106</v>
      </c>
      <c r="E58" s="161">
        <f>COUNTIF($E$30:$AM$49,"=국")</f>
        <v>85</v>
      </c>
      <c r="F58" s="187"/>
      <c r="G58" s="215"/>
      <c r="H58" s="161">
        <f>COUNTIF($E$30:$AM$49,"=수")</f>
        <v>51</v>
      </c>
      <c r="I58" s="187"/>
      <c r="J58" s="215"/>
      <c r="K58" s="161">
        <f>COUNTIF($E$30:$AM$49,"=사")</f>
        <v>51</v>
      </c>
      <c r="L58" s="187"/>
      <c r="M58" s="215"/>
      <c r="N58" s="162">
        <f>COUNTIF($E$30:$AM$49,"=과")</f>
        <v>32</v>
      </c>
      <c r="O58" s="216"/>
      <c r="P58" s="217"/>
      <c r="Q58" s="161">
        <f>COUNTIF($E$30:$AM$49,"=실")</f>
        <v>32</v>
      </c>
      <c r="R58" s="187"/>
      <c r="S58" s="215"/>
      <c r="T58" s="162">
        <f>COUNTIF($E$30:$AM$49,"=체")</f>
        <v>41</v>
      </c>
      <c r="U58" s="216"/>
      <c r="V58" s="217"/>
      <c r="W58" s="162">
        <f>COUNTIF($E$30:$AM$49,"=음")</f>
        <v>30</v>
      </c>
      <c r="X58" s="216"/>
      <c r="Y58" s="217"/>
      <c r="Z58" s="162">
        <f>COUNTIF($E$30:$AM$49,"=미")</f>
        <v>28</v>
      </c>
      <c r="AA58" s="216"/>
      <c r="AB58" s="217"/>
      <c r="AC58" s="161">
        <f>COUNTIF($E$30:$AM$49,"=자")</f>
        <v>74</v>
      </c>
      <c r="AD58" s="215"/>
      <c r="AE58" s="161">
        <f>COUNTIF($E$30:$AM$49,"=동")</f>
        <v>17</v>
      </c>
      <c r="AF58" s="215"/>
      <c r="AG58" s="161">
        <f>COUNTIF($E$30:$AM$49,"=진")</f>
        <v>4</v>
      </c>
      <c r="AH58" s="215"/>
      <c r="AI58" s="161">
        <f>COUNTIF($E$30:$AM$49,"=의")</f>
        <v>41</v>
      </c>
      <c r="AJ58" s="215"/>
      <c r="AK58" s="161">
        <f>COUNTIF($E$30:$AM$49,"=선")</f>
        <v>42</v>
      </c>
      <c r="AL58" s="215"/>
      <c r="AM58" s="161">
        <f t="shared" si="33"/>
        <v>528</v>
      </c>
      <c r="AN58" s="215"/>
      <c r="AO58" s="212"/>
      <c r="AP58" s="21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</row>
    <row r="59" spans="1:68" ht="21" customHeight="1">
      <c r="A59" s="3"/>
      <c r="B59" s="3"/>
      <c r="C59" s="3"/>
      <c r="D59" s="31" t="s">
        <v>12</v>
      </c>
      <c r="E59" s="163">
        <f>SUM(E57:G58)</f>
        <v>170</v>
      </c>
      <c r="F59" s="187"/>
      <c r="G59" s="215"/>
      <c r="H59" s="163">
        <f>SUM(H57:J58)</f>
        <v>102</v>
      </c>
      <c r="I59" s="187"/>
      <c r="J59" s="215"/>
      <c r="K59" s="163">
        <f>SUM(K57:M58)</f>
        <v>102</v>
      </c>
      <c r="L59" s="187"/>
      <c r="M59" s="215"/>
      <c r="N59" s="163">
        <f>SUM(N57:P58)</f>
        <v>68</v>
      </c>
      <c r="O59" s="187"/>
      <c r="P59" s="215"/>
      <c r="Q59" s="163">
        <f>SUM(Q57:S58)</f>
        <v>68</v>
      </c>
      <c r="R59" s="187"/>
      <c r="S59" s="215"/>
      <c r="T59" s="163">
        <f>SUM(T57:V58)</f>
        <v>85</v>
      </c>
      <c r="U59" s="187"/>
      <c r="V59" s="215"/>
      <c r="W59" s="163">
        <f>SUM(W57:Y58)</f>
        <v>60</v>
      </c>
      <c r="X59" s="187"/>
      <c r="Y59" s="215"/>
      <c r="Z59" s="163">
        <f>SUM(Z57:AB58)</f>
        <v>60</v>
      </c>
      <c r="AA59" s="187"/>
      <c r="AB59" s="215"/>
      <c r="AC59" s="163">
        <f>SUM(AC57:AD58)</f>
        <v>162</v>
      </c>
      <c r="AD59" s="215"/>
      <c r="AE59" s="163">
        <f>SUM(AE57:AF58)</f>
        <v>34</v>
      </c>
      <c r="AF59" s="215"/>
      <c r="AG59" s="163">
        <f>SUM(AG57:AH58)</f>
        <v>8</v>
      </c>
      <c r="AH59" s="215"/>
      <c r="AI59" s="163">
        <f>SUM(AI57:AJ58)</f>
        <v>85</v>
      </c>
      <c r="AJ59" s="215"/>
      <c r="AK59" s="163">
        <f>SUM(AK57:AL58)</f>
        <v>85</v>
      </c>
      <c r="AL59" s="215"/>
      <c r="AM59" s="163">
        <f>SUM(AM57:AN58)</f>
        <v>1089</v>
      </c>
      <c r="AN59" s="215"/>
      <c r="AO59" s="212"/>
      <c r="AP59" s="21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</row>
    <row r="60" spans="1:68" ht="31.5" customHeight="1">
      <c r="A60" s="3"/>
      <c r="B60" s="3"/>
      <c r="C60" s="3"/>
      <c r="D60" s="33" t="s">
        <v>107</v>
      </c>
      <c r="E60" s="165">
        <f>SUM(E59-E56)</f>
        <v>0</v>
      </c>
      <c r="F60" s="199"/>
      <c r="G60" s="218"/>
      <c r="H60" s="165">
        <f>SUM(H59-H56)</f>
        <v>0</v>
      </c>
      <c r="I60" s="199"/>
      <c r="J60" s="218"/>
      <c r="K60" s="165">
        <f>SUM(K59-K56)</f>
        <v>0</v>
      </c>
      <c r="L60" s="199"/>
      <c r="M60" s="218"/>
      <c r="N60" s="165">
        <f>SUM(N59-N56)</f>
        <v>0</v>
      </c>
      <c r="O60" s="199"/>
      <c r="P60" s="218"/>
      <c r="Q60" s="165">
        <f>SUM(Q59-Q56)</f>
        <v>0</v>
      </c>
      <c r="R60" s="199"/>
      <c r="S60" s="218"/>
      <c r="T60" s="165">
        <f>SUM(T59-T56)</f>
        <v>0</v>
      </c>
      <c r="U60" s="199"/>
      <c r="V60" s="218"/>
      <c r="W60" s="165">
        <f>SUM(W59-W56)</f>
        <v>1</v>
      </c>
      <c r="X60" s="199"/>
      <c r="Y60" s="218"/>
      <c r="Z60" s="165">
        <f>SUM(Z59-Z56)</f>
        <v>0</v>
      </c>
      <c r="AA60" s="199"/>
      <c r="AB60" s="218"/>
      <c r="AC60" s="165">
        <f>SUM(AC59-AC56)</f>
        <v>0</v>
      </c>
      <c r="AD60" s="218"/>
      <c r="AE60" s="165">
        <f>SUM(AE59-AE56)</f>
        <v>0</v>
      </c>
      <c r="AF60" s="218"/>
      <c r="AG60" s="165">
        <f>SUM(AG59-AG56)</f>
        <v>0</v>
      </c>
      <c r="AH60" s="218"/>
      <c r="AI60" s="165">
        <f>AI59-AI56</f>
        <v>0</v>
      </c>
      <c r="AJ60" s="218"/>
      <c r="AK60" s="165">
        <f>AK59-AK56</f>
        <v>0</v>
      </c>
      <c r="AL60" s="218"/>
      <c r="AM60" s="165">
        <f>SUM(E60:AL60)</f>
        <v>1</v>
      </c>
      <c r="AN60" s="218"/>
      <c r="AO60" s="164" t="str">
        <f>IF(AN52=AM59,"OK","FALSE")</f>
        <v>OK</v>
      </c>
      <c r="AP60" s="182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</row>
    <row r="61" spans="1:68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</row>
    <row r="62" spans="1:68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</row>
    <row r="63" spans="1:68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</row>
    <row r="64" spans="1:68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</row>
    <row r="65" spans="1:59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</row>
    <row r="66" spans="1:59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</row>
    <row r="67" spans="1:59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</row>
    <row r="68" spans="1:59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</row>
    <row r="69" spans="1:5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</row>
    <row r="70" spans="1:59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</row>
    <row r="71" spans="1:59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</row>
    <row r="72" spans="1:59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</row>
    <row r="73" spans="1:59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</row>
    <row r="74" spans="1:59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</row>
    <row r="75" spans="1:59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</row>
    <row r="76" spans="1:59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</row>
    <row r="77" spans="1:59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</row>
    <row r="78" spans="1:59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</row>
    <row r="79" spans="1:5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</row>
    <row r="80" spans="1:59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</row>
    <row r="81" spans="1:59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</row>
    <row r="82" spans="1:59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</row>
    <row r="83" spans="1:59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</row>
    <row r="84" spans="1:59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</row>
    <row r="85" spans="1:59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</row>
    <row r="86" spans="1:59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</row>
    <row r="87" spans="1:59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</row>
    <row r="88" spans="1:59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</row>
    <row r="89" spans="1:5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</row>
    <row r="90" spans="1:59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</row>
    <row r="91" spans="1:59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</row>
    <row r="92" spans="1:59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</row>
    <row r="93" spans="1:59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</row>
    <row r="94" spans="1:59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</row>
    <row r="95" spans="1:59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</row>
    <row r="96" spans="1:59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</row>
    <row r="97" spans="1:59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</row>
    <row r="98" spans="1:59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</row>
    <row r="99" spans="1:5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</row>
    <row r="100" spans="1:59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</row>
    <row r="101" spans="1:59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</row>
    <row r="102" spans="1:59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</row>
    <row r="103" spans="1:59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</row>
    <row r="104" spans="1:59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</row>
    <row r="105" spans="1:59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</row>
    <row r="106" spans="1:59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</row>
    <row r="107" spans="1:59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</row>
    <row r="108" spans="1:59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</row>
    <row r="109" spans="1:5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</row>
    <row r="110" spans="1:59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</row>
    <row r="111" spans="1:59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</row>
    <row r="112" spans="1:59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</row>
    <row r="113" spans="1:59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</row>
    <row r="114" spans="1:59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</row>
    <row r="115" spans="1:59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</row>
    <row r="116" spans="1:59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</row>
    <row r="117" spans="1:59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</row>
    <row r="118" spans="1:59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</row>
    <row r="119" spans="1:5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</row>
    <row r="120" spans="1:59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</row>
    <row r="121" spans="1:59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</row>
    <row r="122" spans="1:59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</row>
    <row r="123" spans="1:59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</row>
    <row r="124" spans="1:59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</row>
    <row r="125" spans="1:59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</row>
    <row r="126" spans="1:59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</row>
    <row r="127" spans="1:59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</row>
    <row r="128" spans="1:59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</row>
    <row r="129" spans="1:5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</row>
    <row r="130" spans="1:59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</row>
    <row r="131" spans="1:59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</row>
    <row r="132" spans="1:59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</row>
    <row r="133" spans="1:59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</row>
    <row r="134" spans="1:59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</row>
    <row r="135" spans="1:59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</row>
    <row r="136" spans="1:59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</row>
    <row r="137" spans="1:59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</row>
    <row r="138" spans="1:59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</row>
    <row r="139" spans="1:5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</row>
    <row r="140" spans="1:59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</row>
    <row r="141" spans="1:59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</row>
    <row r="142" spans="1:59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</row>
    <row r="143" spans="1:59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</row>
    <row r="144" spans="1:59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</row>
    <row r="145" spans="1:59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</row>
    <row r="146" spans="1:59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</row>
    <row r="147" spans="1:59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</row>
    <row r="148" spans="1:59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</row>
    <row r="149" spans="1:5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</row>
    <row r="150" spans="1:59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</row>
    <row r="151" spans="1:59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</row>
    <row r="152" spans="1:59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</row>
    <row r="153" spans="1:59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</row>
    <row r="154" spans="1:59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</row>
    <row r="155" spans="1:59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</row>
    <row r="156" spans="1:59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</row>
    <row r="157" spans="1:59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</row>
    <row r="158" spans="1:59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</row>
    <row r="159" spans="1: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</row>
    <row r="160" spans="1:59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</row>
    <row r="161" spans="1:59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</row>
    <row r="162" spans="1:59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</row>
    <row r="163" spans="1:59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</row>
    <row r="164" spans="1:59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</row>
    <row r="165" spans="1:59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</row>
    <row r="166" spans="1:59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</row>
    <row r="167" spans="1:59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</row>
    <row r="168" spans="1:59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</row>
    <row r="169" spans="1:5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</row>
    <row r="170" spans="1:59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</row>
    <row r="171" spans="1:59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</row>
    <row r="172" spans="1:59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</row>
    <row r="173" spans="1:59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</row>
    <row r="174" spans="1:59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</row>
    <row r="175" spans="1:59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</row>
    <row r="176" spans="1:59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</row>
    <row r="177" spans="1:59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</row>
    <row r="178" spans="1:59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</row>
    <row r="179" spans="1:5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</row>
    <row r="180" spans="1:59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</row>
    <row r="181" spans="1:59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</row>
    <row r="182" spans="1:59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</row>
    <row r="183" spans="1:59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</row>
    <row r="184" spans="1:59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</row>
    <row r="185" spans="1:59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</row>
    <row r="186" spans="1:59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</row>
    <row r="187" spans="1:59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</row>
    <row r="188" spans="1:59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</row>
    <row r="189" spans="1:5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</row>
    <row r="190" spans="1:59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</row>
    <row r="191" spans="1:59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</row>
    <row r="192" spans="1:59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</row>
    <row r="193" spans="1:59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</row>
    <row r="194" spans="1:59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</row>
    <row r="195" spans="1:59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</row>
    <row r="196" spans="1:59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</row>
    <row r="197" spans="1:59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</row>
    <row r="198" spans="1:59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</row>
    <row r="199" spans="1:5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</row>
    <row r="200" spans="1:59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</row>
    <row r="201" spans="1:59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</row>
    <row r="202" spans="1:59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</row>
    <row r="203" spans="1:59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</row>
    <row r="204" spans="1:59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</row>
    <row r="205" spans="1:59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</row>
    <row r="206" spans="1:59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</row>
    <row r="207" spans="1:59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</row>
    <row r="208" spans="1:59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</row>
    <row r="209" spans="1:5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</row>
    <row r="210" spans="1:59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</row>
    <row r="211" spans="1:59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</row>
    <row r="212" spans="1:59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</row>
    <row r="213" spans="1:59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</row>
    <row r="214" spans="1:59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</row>
    <row r="215" spans="1:59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</row>
    <row r="216" spans="1:59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</row>
    <row r="217" spans="1:59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</row>
    <row r="218" spans="1:59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</row>
    <row r="219" spans="1:5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</row>
    <row r="220" spans="1:59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</row>
    <row r="221" spans="1:59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</row>
    <row r="222" spans="1:59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</row>
    <row r="223" spans="1:59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</row>
    <row r="224" spans="1:59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</row>
    <row r="225" spans="1:59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</row>
    <row r="226" spans="1:59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</row>
    <row r="227" spans="1:59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</row>
    <row r="228" spans="1:59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</row>
    <row r="229" spans="1:5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</row>
    <row r="230" spans="1:59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</row>
    <row r="231" spans="1:59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</row>
    <row r="232" spans="1:59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</row>
    <row r="233" spans="1:59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</row>
    <row r="234" spans="1:59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</row>
    <row r="235" spans="1:59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</row>
    <row r="236" spans="1:59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</row>
    <row r="237" spans="1:59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</row>
    <row r="238" spans="1:59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</row>
    <row r="239" spans="1:5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</row>
    <row r="240" spans="1:59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</row>
    <row r="241" spans="1:59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</row>
    <row r="242" spans="1:59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</row>
    <row r="243" spans="1:59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</row>
    <row r="244" spans="1:59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</row>
    <row r="245" spans="1:59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</row>
    <row r="246" spans="1:59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</row>
    <row r="247" spans="1:59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</row>
    <row r="248" spans="1:59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</row>
    <row r="249" spans="1:5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</row>
    <row r="250" spans="1:59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</row>
    <row r="251" spans="1:59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</row>
    <row r="252" spans="1:59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</row>
    <row r="253" spans="1:59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</row>
    <row r="254" spans="1:59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</row>
    <row r="255" spans="1:59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</row>
    <row r="256" spans="1:59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</row>
    <row r="257" spans="1:59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</row>
    <row r="258" spans="1:59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</row>
    <row r="259" spans="1: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</row>
    <row r="260" spans="1:59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</row>
    <row r="261" spans="1:59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</row>
    <row r="262" spans="1:59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</row>
    <row r="263" spans="1:59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</row>
    <row r="264" spans="1:59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</row>
    <row r="265" spans="1:59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</row>
    <row r="266" spans="1:59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</row>
    <row r="267" spans="1:59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</row>
    <row r="268" spans="1:59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</row>
    <row r="269" spans="1:5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</row>
    <row r="270" spans="1:59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</row>
    <row r="271" spans="1:59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</row>
    <row r="272" spans="1:59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</row>
    <row r="273" spans="1:59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</row>
    <row r="274" spans="1:59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</row>
    <row r="275" spans="1:59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</row>
    <row r="276" spans="1:59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</row>
    <row r="277" spans="1:59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</row>
    <row r="278" spans="1:59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</row>
    <row r="279" spans="1:5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</row>
    <row r="280" spans="1:59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</row>
    <row r="281" spans="1:59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</row>
    <row r="282" spans="1:59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</row>
    <row r="283" spans="1:59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</row>
    <row r="284" spans="1:59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</row>
    <row r="285" spans="1:59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</row>
    <row r="286" spans="1:59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</row>
    <row r="287" spans="1:59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</row>
    <row r="288" spans="1:59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</row>
    <row r="289" spans="1:5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</row>
    <row r="290" spans="1:59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</row>
    <row r="291" spans="1:59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</row>
    <row r="292" spans="1:59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</row>
    <row r="293" spans="1:59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</row>
    <row r="294" spans="1:59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</row>
    <row r="295" spans="1:59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</row>
    <row r="296" spans="1:59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</row>
    <row r="297" spans="1:59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</row>
    <row r="298" spans="1:59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</row>
    <row r="299" spans="1:5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</row>
    <row r="300" spans="1:59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</row>
    <row r="301" spans="1:59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</row>
    <row r="302" spans="1:59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</row>
    <row r="303" spans="1:59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</row>
    <row r="304" spans="1:59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</row>
    <row r="305" spans="1:59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</row>
    <row r="306" spans="1:59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</row>
    <row r="307" spans="1:59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</row>
    <row r="308" spans="1:59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</row>
    <row r="309" spans="1:5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</row>
    <row r="310" spans="1:59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</row>
    <row r="311" spans="1:59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</row>
    <row r="312" spans="1:59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</row>
    <row r="313" spans="1:59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</row>
    <row r="314" spans="1:59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</row>
    <row r="315" spans="1:59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</row>
    <row r="316" spans="1:59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</row>
    <row r="317" spans="1:59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</row>
    <row r="318" spans="1:59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</row>
    <row r="319" spans="1:5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</row>
    <row r="320" spans="1:59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</row>
    <row r="321" spans="1:59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</row>
    <row r="322" spans="1:59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</row>
    <row r="323" spans="1:59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</row>
    <row r="324" spans="1:59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</row>
    <row r="325" spans="1:59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</row>
    <row r="326" spans="1:59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</row>
    <row r="327" spans="1:59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</row>
    <row r="328" spans="1:59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</row>
    <row r="329" spans="1:5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</row>
    <row r="330" spans="1:59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</row>
    <row r="331" spans="1:59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</row>
    <row r="332" spans="1:59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</row>
    <row r="333" spans="1:59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</row>
    <row r="334" spans="1:59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</row>
    <row r="335" spans="1:59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</row>
    <row r="336" spans="1:59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</row>
    <row r="337" spans="1:59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</row>
    <row r="338" spans="1:59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</row>
    <row r="339" spans="1:5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</row>
    <row r="340" spans="1:59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</row>
    <row r="341" spans="1:59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</row>
    <row r="342" spans="1:59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</row>
    <row r="343" spans="1:59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</row>
    <row r="344" spans="1:59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</row>
    <row r="345" spans="1:59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</row>
    <row r="346" spans="1:59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</row>
    <row r="347" spans="1:59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</row>
    <row r="348" spans="1:59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</row>
    <row r="349" spans="1:5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</row>
    <row r="350" spans="1:59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</row>
    <row r="351" spans="1:59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</row>
    <row r="352" spans="1:59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</row>
    <row r="353" spans="1:59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</row>
    <row r="354" spans="1:59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</row>
    <row r="355" spans="1:59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</row>
    <row r="356" spans="1:59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</row>
    <row r="357" spans="1:59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</row>
    <row r="358" spans="1:59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</row>
    <row r="359" spans="1: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</row>
    <row r="360" spans="1:59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</row>
    <row r="361" spans="1:59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</row>
    <row r="362" spans="1:59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</row>
    <row r="363" spans="1:59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</row>
    <row r="364" spans="1:59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</row>
    <row r="365" spans="1:59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</row>
    <row r="366" spans="1:59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</row>
    <row r="367" spans="1:59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</row>
    <row r="368" spans="1:59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</row>
    <row r="369" spans="1:5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</row>
    <row r="370" spans="1:59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</row>
    <row r="371" spans="1:59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</row>
    <row r="372" spans="1:59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</row>
    <row r="373" spans="1:59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</row>
    <row r="374" spans="1:59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</row>
    <row r="375" spans="1:59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</row>
    <row r="376" spans="1:59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</row>
    <row r="377" spans="1:59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</row>
    <row r="378" spans="1:59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</row>
    <row r="379" spans="1:5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</row>
    <row r="380" spans="1:59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</row>
    <row r="381" spans="1:59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</row>
    <row r="382" spans="1:59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</row>
    <row r="383" spans="1:59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</row>
    <row r="384" spans="1:59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</row>
    <row r="385" spans="1:59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</row>
    <row r="386" spans="1:59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</row>
    <row r="387" spans="1:59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</row>
    <row r="388" spans="1:59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</row>
    <row r="389" spans="1:5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</row>
    <row r="390" spans="1:59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</row>
    <row r="391" spans="1:59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</row>
    <row r="392" spans="1:59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</row>
    <row r="393" spans="1:59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</row>
    <row r="394" spans="1:59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</row>
    <row r="395" spans="1:59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</row>
    <row r="396" spans="1:59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</row>
    <row r="397" spans="1:59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</row>
    <row r="398" spans="1:59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</row>
    <row r="399" spans="1:5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</row>
    <row r="400" spans="1:59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</row>
    <row r="401" spans="1:59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</row>
    <row r="402" spans="1:59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</row>
    <row r="403" spans="1:59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</row>
    <row r="404" spans="1:59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</row>
    <row r="405" spans="1:59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</row>
    <row r="406" spans="1:59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</row>
    <row r="407" spans="1:59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</row>
    <row r="408" spans="1:59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</row>
    <row r="409" spans="1:5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</row>
    <row r="410" spans="1:59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</row>
    <row r="411" spans="1:59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</row>
    <row r="412" spans="1:59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</row>
    <row r="413" spans="1:59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</row>
    <row r="414" spans="1:59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</row>
    <row r="415" spans="1:59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</row>
    <row r="416" spans="1:59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</row>
    <row r="417" spans="1:59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</row>
    <row r="418" spans="1:59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</row>
    <row r="419" spans="1:5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</row>
    <row r="420" spans="1:59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</row>
    <row r="421" spans="1:59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</row>
    <row r="422" spans="1:59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</row>
    <row r="423" spans="1:59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</row>
    <row r="424" spans="1:59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</row>
    <row r="425" spans="1:59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</row>
    <row r="426" spans="1:59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</row>
    <row r="427" spans="1:59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</row>
    <row r="428" spans="1:59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</row>
    <row r="429" spans="1:5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</row>
    <row r="430" spans="1:59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</row>
    <row r="431" spans="1:59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</row>
    <row r="432" spans="1:59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</row>
    <row r="433" spans="1:59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</row>
    <row r="434" spans="1:59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</row>
    <row r="435" spans="1:59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</row>
    <row r="436" spans="1:59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</row>
    <row r="437" spans="1:59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</row>
    <row r="438" spans="1:59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</row>
    <row r="439" spans="1:5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</row>
    <row r="440" spans="1:59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</row>
    <row r="441" spans="1:59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</row>
    <row r="442" spans="1:59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</row>
    <row r="443" spans="1:59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</row>
    <row r="444" spans="1:59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</row>
    <row r="445" spans="1:59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</row>
    <row r="446" spans="1:59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</row>
    <row r="447" spans="1:59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</row>
    <row r="448" spans="1:59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</row>
    <row r="449" spans="1:5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</row>
    <row r="450" spans="1:59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</row>
    <row r="451" spans="1:59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</row>
    <row r="452" spans="1:59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</row>
    <row r="453" spans="1:59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</row>
    <row r="454" spans="1:59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</row>
    <row r="455" spans="1:59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</row>
    <row r="456" spans="1:59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</row>
    <row r="457" spans="1:59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</row>
    <row r="458" spans="1:59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</row>
    <row r="459" spans="1: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</row>
    <row r="460" spans="1:59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</row>
    <row r="461" spans="1:59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</row>
    <row r="462" spans="1:59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</row>
    <row r="463" spans="1:59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</row>
    <row r="464" spans="1:59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</row>
    <row r="465" spans="1:59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</row>
    <row r="466" spans="1:59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</row>
    <row r="467" spans="1:59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</row>
    <row r="468" spans="1:59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</row>
    <row r="469" spans="1:5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</row>
    <row r="470" spans="1:59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</row>
    <row r="471" spans="1:59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</row>
    <row r="472" spans="1:59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</row>
    <row r="473" spans="1:59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</row>
    <row r="474" spans="1:59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</row>
    <row r="475" spans="1:59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</row>
    <row r="476" spans="1:59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</row>
    <row r="477" spans="1:59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</row>
    <row r="478" spans="1:59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</row>
    <row r="479" spans="1:5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</row>
    <row r="480" spans="1:59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</row>
    <row r="481" spans="1:59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</row>
    <row r="482" spans="1:59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</row>
    <row r="483" spans="1:59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</row>
    <row r="484" spans="1:59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</row>
    <row r="485" spans="1:59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</row>
    <row r="486" spans="1:59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</row>
    <row r="487" spans="1:59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</row>
    <row r="488" spans="1:59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</row>
    <row r="489" spans="1:5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</row>
    <row r="490" spans="1:59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</row>
    <row r="491" spans="1:59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</row>
    <row r="492" spans="1:59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</row>
    <row r="493" spans="1:59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</row>
    <row r="494" spans="1:59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</row>
    <row r="495" spans="1:59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</row>
    <row r="496" spans="1:59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</row>
    <row r="497" spans="1:59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</row>
    <row r="498" spans="1:59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</row>
    <row r="499" spans="1:5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</row>
    <row r="500" spans="1:59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</row>
    <row r="501" spans="1:59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</row>
    <row r="502" spans="1:59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</row>
    <row r="503" spans="1:59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</row>
    <row r="504" spans="1:59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</row>
    <row r="505" spans="1:59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</row>
    <row r="506" spans="1:59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</row>
    <row r="507" spans="1:59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</row>
    <row r="508" spans="1:59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</row>
    <row r="509" spans="1:5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</row>
    <row r="510" spans="1:59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</row>
    <row r="511" spans="1:59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</row>
    <row r="512" spans="1:59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</row>
    <row r="513" spans="1:59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</row>
    <row r="514" spans="1:59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</row>
    <row r="515" spans="1:59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</row>
    <row r="516" spans="1:59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</row>
    <row r="517" spans="1:59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</row>
    <row r="518" spans="1:59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</row>
    <row r="519" spans="1:5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</row>
    <row r="520" spans="1:59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</row>
    <row r="521" spans="1:59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</row>
    <row r="522" spans="1:59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</row>
    <row r="523" spans="1:59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</row>
    <row r="524" spans="1:59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</row>
    <row r="525" spans="1:59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</row>
    <row r="526" spans="1:59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</row>
    <row r="527" spans="1:59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</row>
    <row r="528" spans="1:59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</row>
    <row r="529" spans="1:5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</row>
    <row r="530" spans="1:59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</row>
    <row r="531" spans="1:59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</row>
    <row r="532" spans="1:59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</row>
    <row r="533" spans="1:59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</row>
    <row r="534" spans="1:59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</row>
    <row r="535" spans="1:59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</row>
    <row r="536" spans="1:59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</row>
    <row r="537" spans="1:59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</row>
    <row r="538" spans="1:59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</row>
    <row r="539" spans="1:5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</row>
    <row r="540" spans="1:59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</row>
    <row r="541" spans="1:59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</row>
    <row r="542" spans="1:59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</row>
    <row r="543" spans="1:59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</row>
    <row r="544" spans="1:59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</row>
    <row r="545" spans="1:59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</row>
    <row r="546" spans="1:59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</row>
    <row r="547" spans="1:59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</row>
    <row r="548" spans="1:59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</row>
    <row r="549" spans="1:5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</row>
    <row r="550" spans="1:59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</row>
    <row r="551" spans="1:59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</row>
    <row r="552" spans="1:59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</row>
    <row r="553" spans="1:59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</row>
    <row r="554" spans="1:59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</row>
    <row r="555" spans="1:59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</row>
    <row r="556" spans="1:59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</row>
    <row r="557" spans="1:59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</row>
    <row r="558" spans="1:59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</row>
    <row r="559" spans="1: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</row>
    <row r="560" spans="1:59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</row>
    <row r="561" spans="1:59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</row>
    <row r="562" spans="1:59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</row>
    <row r="563" spans="1:59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</row>
    <row r="564" spans="1:59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</row>
    <row r="565" spans="1:59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</row>
    <row r="566" spans="1:59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</row>
    <row r="567" spans="1:59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</row>
    <row r="568" spans="1:59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</row>
    <row r="569" spans="1:5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</row>
    <row r="570" spans="1:59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</row>
    <row r="571" spans="1:59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</row>
    <row r="572" spans="1:59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</row>
    <row r="573" spans="1:59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</row>
    <row r="574" spans="1:59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</row>
    <row r="575" spans="1:59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</row>
    <row r="576" spans="1:59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</row>
    <row r="577" spans="1:59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</row>
    <row r="578" spans="1:59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</row>
    <row r="579" spans="1:5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</row>
    <row r="580" spans="1:59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</row>
    <row r="581" spans="1:59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</row>
    <row r="582" spans="1:59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</row>
    <row r="583" spans="1:59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</row>
    <row r="584" spans="1:59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</row>
    <row r="585" spans="1:59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</row>
    <row r="586" spans="1:59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</row>
    <row r="587" spans="1:59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</row>
    <row r="588" spans="1:59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</row>
    <row r="589" spans="1:5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</row>
    <row r="590" spans="1:59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</row>
    <row r="591" spans="1:59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</row>
    <row r="592" spans="1:59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</row>
    <row r="593" spans="1:59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</row>
    <row r="594" spans="1:59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</row>
    <row r="595" spans="1:59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</row>
    <row r="596" spans="1:59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</row>
    <row r="597" spans="1:59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</row>
    <row r="598" spans="1:59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</row>
    <row r="599" spans="1:5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</row>
    <row r="600" spans="1:59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</row>
    <row r="601" spans="1:59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</row>
    <row r="602" spans="1:59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</row>
    <row r="603" spans="1:59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</row>
    <row r="604" spans="1:59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</row>
    <row r="605" spans="1:59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</row>
    <row r="606" spans="1:59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</row>
    <row r="607" spans="1:59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</row>
    <row r="608" spans="1:59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</row>
    <row r="609" spans="1:5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</row>
    <row r="610" spans="1:59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</row>
    <row r="611" spans="1:59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</row>
    <row r="612" spans="1:59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</row>
    <row r="613" spans="1:59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</row>
    <row r="614" spans="1:59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</row>
    <row r="615" spans="1:59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</row>
    <row r="616" spans="1:59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</row>
    <row r="617" spans="1:59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</row>
    <row r="618" spans="1:59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</row>
    <row r="619" spans="1:5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</row>
    <row r="620" spans="1:59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</row>
    <row r="621" spans="1:59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</row>
    <row r="622" spans="1:59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</row>
    <row r="623" spans="1:59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</row>
    <row r="624" spans="1:59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3"/>
      <c r="BG624" s="3"/>
    </row>
    <row r="625" spans="1:59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  <c r="BG625" s="3"/>
    </row>
    <row r="626" spans="1:59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</row>
    <row r="627" spans="1:59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</row>
    <row r="628" spans="1:59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</row>
    <row r="629" spans="1:5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</row>
    <row r="630" spans="1:59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</row>
    <row r="631" spans="1:59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</row>
    <row r="632" spans="1:59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</row>
    <row r="633" spans="1:59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</row>
    <row r="634" spans="1:59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</row>
    <row r="635" spans="1:59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</row>
    <row r="636" spans="1:59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</row>
    <row r="637" spans="1:59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</row>
    <row r="638" spans="1:59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</row>
    <row r="639" spans="1:5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</row>
    <row r="640" spans="1:59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</row>
    <row r="641" spans="1:59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</row>
    <row r="642" spans="1:59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</row>
    <row r="643" spans="1:59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</row>
    <row r="644" spans="1:59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</row>
    <row r="645" spans="1:59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</row>
    <row r="646" spans="1:59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</row>
    <row r="647" spans="1:59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</row>
    <row r="648" spans="1:59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</row>
    <row r="649" spans="1:5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</row>
    <row r="650" spans="1:59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3"/>
    </row>
    <row r="651" spans="1:59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3"/>
      <c r="BG651" s="3"/>
    </row>
    <row r="652" spans="1:59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</row>
    <row r="653" spans="1:59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</row>
    <row r="654" spans="1:59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</row>
    <row r="655" spans="1:59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</row>
    <row r="656" spans="1:59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</row>
    <row r="657" spans="1:59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</row>
    <row r="658" spans="1:59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</row>
    <row r="659" spans="1: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</row>
    <row r="660" spans="1:59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</row>
    <row r="661" spans="1:59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</row>
    <row r="662" spans="1:59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</row>
    <row r="663" spans="1:59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</row>
    <row r="664" spans="1:59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</row>
    <row r="665" spans="1:59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</row>
    <row r="666" spans="1:59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</row>
    <row r="667" spans="1:59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</row>
    <row r="668" spans="1:59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</row>
    <row r="669" spans="1:5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</row>
    <row r="670" spans="1:59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</row>
    <row r="671" spans="1:59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</row>
    <row r="672" spans="1:59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</row>
    <row r="673" spans="1:59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</row>
    <row r="674" spans="1:59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</row>
    <row r="675" spans="1:59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</row>
    <row r="676" spans="1:59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</row>
    <row r="677" spans="1:59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  <c r="BG677" s="3"/>
    </row>
    <row r="678" spans="1:59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</row>
    <row r="679" spans="1:5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</row>
    <row r="680" spans="1:59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</row>
    <row r="681" spans="1:59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</row>
    <row r="682" spans="1:59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</row>
    <row r="683" spans="1:59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</row>
    <row r="684" spans="1:59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</row>
    <row r="685" spans="1:59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</row>
    <row r="686" spans="1:59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</row>
    <row r="687" spans="1:59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</row>
    <row r="688" spans="1:59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</row>
    <row r="689" spans="1:5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</row>
    <row r="690" spans="1:59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</row>
    <row r="691" spans="1:59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</row>
    <row r="692" spans="1:59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</row>
    <row r="693" spans="1:59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</row>
    <row r="694" spans="1:59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</row>
    <row r="695" spans="1:59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</row>
    <row r="696" spans="1:59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</row>
    <row r="697" spans="1:59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</row>
    <row r="698" spans="1:59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</row>
    <row r="699" spans="1:5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</row>
    <row r="700" spans="1:59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</row>
    <row r="701" spans="1:59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</row>
    <row r="702" spans="1:59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  <c r="BF702" s="3"/>
      <c r="BG702" s="3"/>
    </row>
    <row r="703" spans="1:59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  <c r="BG703" s="3"/>
    </row>
    <row r="704" spans="1:59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</row>
    <row r="705" spans="1:59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</row>
    <row r="706" spans="1:59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</row>
    <row r="707" spans="1:59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</row>
    <row r="708" spans="1:59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</row>
    <row r="709" spans="1:5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</row>
    <row r="710" spans="1:59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</row>
    <row r="711" spans="1:59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</row>
    <row r="712" spans="1:59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</row>
    <row r="713" spans="1:59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</row>
    <row r="714" spans="1:59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</row>
    <row r="715" spans="1:59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</row>
    <row r="716" spans="1:59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</row>
    <row r="717" spans="1:59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</row>
    <row r="718" spans="1:59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</row>
    <row r="719" spans="1:5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</row>
    <row r="720" spans="1:59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</row>
    <row r="721" spans="1:59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</row>
    <row r="722" spans="1:59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</row>
    <row r="723" spans="1:59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</row>
    <row r="724" spans="1:59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</row>
    <row r="725" spans="1:59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</row>
    <row r="726" spans="1:59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</row>
    <row r="727" spans="1:59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</row>
    <row r="728" spans="1:59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/>
      <c r="BG728" s="3"/>
    </row>
    <row r="729" spans="1:5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/>
      <c r="BF729" s="3"/>
      <c r="BG729" s="3"/>
    </row>
    <row r="730" spans="1:59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</row>
    <row r="731" spans="1:59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</row>
    <row r="732" spans="1:59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</row>
    <row r="733" spans="1:59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</row>
    <row r="734" spans="1:59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</row>
    <row r="735" spans="1:59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</row>
    <row r="736" spans="1:59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</row>
    <row r="737" spans="1:59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</row>
    <row r="738" spans="1:59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</row>
    <row r="739" spans="1:5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</row>
    <row r="740" spans="1:59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</row>
    <row r="741" spans="1:59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</row>
    <row r="742" spans="1:59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</row>
    <row r="743" spans="1:59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</row>
    <row r="744" spans="1:59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</row>
    <row r="745" spans="1:59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</row>
    <row r="746" spans="1:59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</row>
    <row r="747" spans="1:59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</row>
    <row r="748" spans="1:59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</row>
    <row r="749" spans="1:5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</row>
    <row r="750" spans="1:59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</row>
    <row r="751" spans="1:59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</row>
    <row r="752" spans="1:59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</row>
    <row r="753" spans="1:59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</row>
    <row r="754" spans="1:59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3"/>
      <c r="BF754" s="3"/>
      <c r="BG754" s="3"/>
    </row>
    <row r="755" spans="1:59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/>
      <c r="BF755" s="3"/>
      <c r="BG755" s="3"/>
    </row>
    <row r="756" spans="1:59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</row>
    <row r="757" spans="1:59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</row>
    <row r="758" spans="1:59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</row>
    <row r="759" spans="1: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</row>
    <row r="760" spans="1:59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</row>
    <row r="761" spans="1:59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</row>
    <row r="762" spans="1:59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</row>
    <row r="763" spans="1:59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</row>
    <row r="764" spans="1:59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</row>
    <row r="765" spans="1:59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</row>
    <row r="766" spans="1:59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</row>
    <row r="767" spans="1:59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</row>
    <row r="768" spans="1:59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</row>
    <row r="769" spans="1:5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</row>
    <row r="770" spans="1:59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</row>
    <row r="771" spans="1:59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</row>
    <row r="772" spans="1:59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</row>
    <row r="773" spans="1:59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</row>
    <row r="774" spans="1:59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</row>
    <row r="775" spans="1:59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</row>
    <row r="776" spans="1:59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</row>
    <row r="777" spans="1:59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</row>
    <row r="778" spans="1:59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</row>
    <row r="779" spans="1:5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</row>
    <row r="780" spans="1:59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  <c r="BE780" s="3"/>
      <c r="BF780" s="3"/>
      <c r="BG780" s="3"/>
    </row>
    <row r="781" spans="1:59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  <c r="BE781" s="3"/>
      <c r="BF781" s="3"/>
      <c r="BG781" s="3"/>
    </row>
    <row r="782" spans="1:59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</row>
    <row r="783" spans="1:59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</row>
    <row r="784" spans="1:59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</row>
    <row r="785" spans="1:59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</row>
    <row r="786" spans="1:59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</row>
    <row r="787" spans="1:59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</row>
    <row r="788" spans="1:59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</row>
    <row r="789" spans="1:5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</row>
    <row r="790" spans="1:59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</row>
    <row r="791" spans="1:59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</row>
    <row r="792" spans="1:59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</row>
    <row r="793" spans="1:59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</row>
    <row r="794" spans="1:59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</row>
    <row r="795" spans="1:59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</row>
    <row r="796" spans="1:59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</row>
    <row r="797" spans="1:59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</row>
    <row r="798" spans="1:59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</row>
    <row r="799" spans="1:5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</row>
    <row r="800" spans="1:59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</row>
    <row r="801" spans="1:59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</row>
    <row r="802" spans="1:59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</row>
    <row r="803" spans="1:59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</row>
    <row r="804" spans="1:59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</row>
    <row r="805" spans="1:59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</row>
    <row r="806" spans="1:59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</row>
    <row r="807" spans="1:59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</row>
    <row r="808" spans="1:59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</row>
    <row r="809" spans="1:5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</row>
    <row r="810" spans="1:59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</row>
    <row r="811" spans="1:59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</row>
    <row r="812" spans="1:59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</row>
    <row r="813" spans="1:59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</row>
    <row r="814" spans="1:59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</row>
    <row r="815" spans="1:59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</row>
    <row r="816" spans="1:59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</row>
    <row r="817" spans="1:59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</row>
    <row r="818" spans="1:59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</row>
    <row r="819" spans="1:5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</row>
    <row r="820" spans="1:59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</row>
    <row r="821" spans="1:59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</row>
    <row r="822" spans="1:59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</row>
    <row r="823" spans="1:59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</row>
    <row r="824" spans="1:59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</row>
    <row r="825" spans="1:59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</row>
    <row r="826" spans="1:59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</row>
    <row r="827" spans="1:59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</row>
    <row r="828" spans="1:59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</row>
    <row r="829" spans="1:5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</row>
    <row r="830" spans="1:59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</row>
    <row r="831" spans="1:59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</row>
    <row r="832" spans="1:59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</row>
    <row r="833" spans="1:59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</row>
    <row r="834" spans="1:59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</row>
    <row r="835" spans="1:59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</row>
    <row r="836" spans="1:59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</row>
    <row r="837" spans="1:59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</row>
    <row r="838" spans="1:59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</row>
    <row r="839" spans="1:5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</row>
    <row r="840" spans="1:59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</row>
    <row r="841" spans="1:59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</row>
    <row r="842" spans="1:59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</row>
    <row r="843" spans="1:59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</row>
    <row r="844" spans="1:59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</row>
    <row r="845" spans="1:59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</row>
    <row r="846" spans="1:59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</row>
    <row r="847" spans="1:59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</row>
    <row r="848" spans="1:59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</row>
    <row r="849" spans="1:5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</row>
    <row r="850" spans="1:59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</row>
    <row r="851" spans="1:59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</row>
    <row r="852" spans="1:59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</row>
    <row r="853" spans="1:59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</row>
    <row r="854" spans="1:59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</row>
    <row r="855" spans="1:59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</row>
    <row r="856" spans="1:59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</row>
    <row r="857" spans="1:59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</row>
    <row r="858" spans="1:59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</row>
    <row r="859" spans="1: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  <c r="BG859" s="3"/>
    </row>
    <row r="860" spans="1:59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</row>
    <row r="861" spans="1:59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</row>
    <row r="862" spans="1:59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</row>
    <row r="863" spans="1:59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</row>
    <row r="864" spans="1:59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</row>
    <row r="865" spans="1:59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</row>
    <row r="866" spans="1:59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</row>
    <row r="867" spans="1:59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</row>
    <row r="868" spans="1:59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</row>
    <row r="869" spans="1:5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</row>
    <row r="870" spans="1:59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</row>
    <row r="871" spans="1:59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</row>
    <row r="872" spans="1:59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</row>
    <row r="873" spans="1:59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</row>
    <row r="874" spans="1:59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</row>
    <row r="875" spans="1:59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</row>
    <row r="876" spans="1:59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</row>
    <row r="877" spans="1:59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</row>
    <row r="878" spans="1:59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</row>
    <row r="879" spans="1:5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</row>
    <row r="880" spans="1:59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</row>
    <row r="881" spans="1:59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</row>
    <row r="882" spans="1:59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</row>
    <row r="883" spans="1:59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</row>
    <row r="884" spans="1:59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</row>
    <row r="885" spans="1:59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</row>
    <row r="886" spans="1:59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</row>
    <row r="887" spans="1:59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</row>
    <row r="888" spans="1:59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</row>
    <row r="889" spans="1:5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</row>
    <row r="890" spans="1:59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</row>
    <row r="891" spans="1:59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</row>
    <row r="892" spans="1:59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</row>
    <row r="893" spans="1:59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</row>
    <row r="894" spans="1:59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</row>
    <row r="895" spans="1:59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</row>
    <row r="896" spans="1:59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</row>
    <row r="897" spans="1:59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</row>
    <row r="898" spans="1:59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</row>
    <row r="899" spans="1:5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</row>
    <row r="900" spans="1:59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</row>
    <row r="901" spans="1:59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</row>
    <row r="902" spans="1:59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</row>
    <row r="903" spans="1:59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</row>
    <row r="904" spans="1:59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</row>
    <row r="905" spans="1:59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</row>
    <row r="906" spans="1:59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</row>
    <row r="907" spans="1:59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</row>
    <row r="908" spans="1:59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</row>
    <row r="909" spans="1:5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</row>
    <row r="910" spans="1:59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</row>
    <row r="911" spans="1:59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/>
    </row>
    <row r="912" spans="1:59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</row>
    <row r="913" spans="1:59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</row>
    <row r="914" spans="1:59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</row>
    <row r="915" spans="1:59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</row>
    <row r="916" spans="1:59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</row>
    <row r="917" spans="1:59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</row>
    <row r="918" spans="1:59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</row>
    <row r="919" spans="1:5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</row>
    <row r="920" spans="1:59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</row>
    <row r="921" spans="1:59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</row>
    <row r="922" spans="1:59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</row>
    <row r="923" spans="1:59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</row>
    <row r="924" spans="1:59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</row>
    <row r="925" spans="1:59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</row>
    <row r="926" spans="1:59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</row>
    <row r="927" spans="1:59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</row>
    <row r="928" spans="1:59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</row>
    <row r="929" spans="1:5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</row>
    <row r="930" spans="1:59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</row>
    <row r="931" spans="1:59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</row>
    <row r="932" spans="1:59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</row>
    <row r="933" spans="1:59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</row>
    <row r="934" spans="1:59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</row>
    <row r="935" spans="1:59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</row>
    <row r="936" spans="1:59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3"/>
      <c r="BF936" s="3"/>
      <c r="BG936" s="3"/>
    </row>
    <row r="937" spans="1:59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  <c r="BE937" s="3"/>
      <c r="BF937" s="3"/>
      <c r="BG937" s="3"/>
    </row>
    <row r="938" spans="1:59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3"/>
      <c r="BG938" s="3"/>
    </row>
    <row r="939" spans="1:5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3"/>
      <c r="BF939" s="3"/>
      <c r="BG939" s="3"/>
    </row>
    <row r="940" spans="1:59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  <c r="BF940" s="3"/>
      <c r="BG940" s="3"/>
    </row>
    <row r="941" spans="1:59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3"/>
      <c r="BF941" s="3"/>
      <c r="BG941" s="3"/>
    </row>
    <row r="942" spans="1:59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3"/>
      <c r="BF942" s="3"/>
      <c r="BG942" s="3"/>
    </row>
    <row r="943" spans="1:59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3"/>
      <c r="BF943" s="3"/>
      <c r="BG943" s="3"/>
    </row>
    <row r="944" spans="1:59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  <c r="BE944" s="3"/>
      <c r="BF944" s="3"/>
      <c r="BG944" s="3"/>
    </row>
    <row r="945" spans="1:59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  <c r="BE945" s="3"/>
      <c r="BF945" s="3"/>
      <c r="BG945" s="3"/>
    </row>
    <row r="946" spans="1:59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  <c r="BE946" s="3"/>
      <c r="BF946" s="3"/>
      <c r="BG946" s="3"/>
    </row>
    <row r="947" spans="1:59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  <c r="BE947" s="3"/>
      <c r="BF947" s="3"/>
      <c r="BG947" s="3"/>
    </row>
    <row r="948" spans="1:59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  <c r="BE948" s="3"/>
      <c r="BF948" s="3"/>
      <c r="BG948" s="3"/>
    </row>
    <row r="949" spans="1:5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  <c r="BE949" s="3"/>
      <c r="BF949" s="3"/>
      <c r="BG949" s="3"/>
    </row>
    <row r="950" spans="1:59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</row>
    <row r="951" spans="1:59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</row>
    <row r="952" spans="1:59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</row>
    <row r="953" spans="1:59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</row>
    <row r="954" spans="1:59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  <c r="BE954" s="3"/>
      <c r="BF954" s="3"/>
      <c r="BG954" s="3"/>
    </row>
    <row r="955" spans="1:59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  <c r="BE955" s="3"/>
      <c r="BF955" s="3"/>
      <c r="BG955" s="3"/>
    </row>
    <row r="956" spans="1:59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  <c r="BE956" s="3"/>
      <c r="BF956" s="3"/>
      <c r="BG956" s="3"/>
    </row>
    <row r="957" spans="1:59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  <c r="BD957" s="3"/>
      <c r="BE957" s="3"/>
      <c r="BF957" s="3"/>
      <c r="BG957" s="3"/>
    </row>
    <row r="958" spans="1:59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  <c r="BE958" s="3"/>
      <c r="BF958" s="3"/>
      <c r="BG958" s="3"/>
    </row>
    <row r="959" spans="1: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  <c r="BE959" s="3"/>
      <c r="BF959" s="3"/>
      <c r="BG959" s="3"/>
    </row>
    <row r="960" spans="1:59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  <c r="BE960" s="3"/>
      <c r="BF960" s="3"/>
      <c r="BG960" s="3"/>
    </row>
    <row r="961" spans="1:59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  <c r="BD961" s="3"/>
      <c r="BE961" s="3"/>
      <c r="BF961" s="3"/>
      <c r="BG961" s="3"/>
    </row>
    <row r="962" spans="1:59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  <c r="BE962" s="3"/>
      <c r="BF962" s="3"/>
      <c r="BG962" s="3"/>
    </row>
    <row r="963" spans="1:59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  <c r="BE963" s="3"/>
      <c r="BF963" s="3"/>
      <c r="BG963" s="3"/>
    </row>
    <row r="964" spans="1:59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3"/>
      <c r="BE964" s="3"/>
      <c r="BF964" s="3"/>
      <c r="BG964" s="3"/>
    </row>
    <row r="965" spans="1:59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/>
      <c r="BE965" s="3"/>
      <c r="BF965" s="3"/>
      <c r="BG965" s="3"/>
    </row>
    <row r="966" spans="1:59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/>
      <c r="BE966" s="3"/>
      <c r="BF966" s="3"/>
      <c r="BG966" s="3"/>
    </row>
    <row r="967" spans="1:59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  <c r="BE967" s="3"/>
      <c r="BF967" s="3"/>
      <c r="BG967" s="3"/>
    </row>
    <row r="968" spans="1:59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  <c r="BD968" s="3"/>
      <c r="BE968" s="3"/>
      <c r="BF968" s="3"/>
      <c r="BG968" s="3"/>
    </row>
    <row r="969" spans="1:5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  <c r="BD969" s="3"/>
      <c r="BE969" s="3"/>
      <c r="BF969" s="3"/>
      <c r="BG969" s="3"/>
    </row>
    <row r="970" spans="1:59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  <c r="BD970" s="3"/>
      <c r="BE970" s="3"/>
      <c r="BF970" s="3"/>
      <c r="BG970" s="3"/>
    </row>
    <row r="971" spans="1:59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  <c r="BD971" s="3"/>
      <c r="BE971" s="3"/>
      <c r="BF971" s="3"/>
      <c r="BG971" s="3"/>
    </row>
    <row r="972" spans="1:59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/>
      <c r="BE972" s="3"/>
      <c r="BF972" s="3"/>
      <c r="BG972" s="3"/>
    </row>
    <row r="973" spans="1:59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  <c r="BD973" s="3"/>
      <c r="BE973" s="3"/>
      <c r="BF973" s="3"/>
      <c r="BG973" s="3"/>
    </row>
    <row r="974" spans="1:59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</row>
    <row r="975" spans="1:59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</row>
    <row r="976" spans="1:59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</row>
    <row r="977" spans="1:59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</row>
    <row r="978" spans="1:59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  <c r="BD978" s="3"/>
      <c r="BE978" s="3"/>
      <c r="BF978" s="3"/>
      <c r="BG978" s="3"/>
    </row>
    <row r="979" spans="1:5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  <c r="BD979" s="3"/>
      <c r="BE979" s="3"/>
      <c r="BF979" s="3"/>
      <c r="BG979" s="3"/>
    </row>
    <row r="980" spans="1:59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  <c r="BD980" s="3"/>
      <c r="BE980" s="3"/>
      <c r="BF980" s="3"/>
      <c r="BG980" s="3"/>
    </row>
    <row r="981" spans="1:59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  <c r="BD981" s="3"/>
      <c r="BE981" s="3"/>
      <c r="BF981" s="3"/>
      <c r="BG981" s="3"/>
    </row>
    <row r="982" spans="1:59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  <c r="BD982" s="3"/>
      <c r="BE982" s="3"/>
      <c r="BF982" s="3"/>
      <c r="BG982" s="3"/>
    </row>
    <row r="983" spans="1:59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  <c r="BD983" s="3"/>
      <c r="BE983" s="3"/>
      <c r="BF983" s="3"/>
      <c r="BG983" s="3"/>
    </row>
    <row r="984" spans="1:59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  <c r="BD984" s="3"/>
      <c r="BE984" s="3"/>
      <c r="BF984" s="3"/>
      <c r="BG984" s="3"/>
    </row>
    <row r="985" spans="1:59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  <c r="BD985" s="3"/>
      <c r="BE985" s="3"/>
      <c r="BF985" s="3"/>
      <c r="BG985" s="3"/>
    </row>
    <row r="986" spans="1:59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  <c r="BD986" s="3"/>
      <c r="BE986" s="3"/>
      <c r="BF986" s="3"/>
      <c r="BG986" s="3"/>
    </row>
    <row r="987" spans="1:59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  <c r="BD987" s="3"/>
      <c r="BE987" s="3"/>
      <c r="BF987" s="3"/>
      <c r="BG987" s="3"/>
    </row>
    <row r="988" spans="1:59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  <c r="BD988" s="3"/>
      <c r="BE988" s="3"/>
      <c r="BF988" s="3"/>
      <c r="BG988" s="3"/>
    </row>
    <row r="989" spans="1:5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  <c r="BD989" s="3"/>
      <c r="BE989" s="3"/>
      <c r="BF989" s="3"/>
      <c r="BG989" s="3"/>
    </row>
    <row r="990" spans="1:59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  <c r="BD990" s="3"/>
      <c r="BE990" s="3"/>
      <c r="BF990" s="3"/>
      <c r="BG990" s="3"/>
    </row>
    <row r="991" spans="1:59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  <c r="BD991" s="3"/>
      <c r="BE991" s="3"/>
      <c r="BF991" s="3"/>
      <c r="BG991" s="3"/>
    </row>
    <row r="992" spans="1:59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  <c r="BA992" s="3"/>
      <c r="BB992" s="3"/>
      <c r="BC992" s="3"/>
      <c r="BD992" s="3"/>
      <c r="BE992" s="3"/>
      <c r="BF992" s="3"/>
      <c r="BG992" s="3"/>
    </row>
    <row r="993" spans="1:59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/>
      <c r="BA993" s="3"/>
      <c r="BB993" s="3"/>
      <c r="BC993" s="3"/>
      <c r="BD993" s="3"/>
      <c r="BE993" s="3"/>
      <c r="BF993" s="3"/>
      <c r="BG993" s="3"/>
    </row>
    <row r="994" spans="1:59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  <c r="BD994" s="3"/>
      <c r="BE994" s="3"/>
      <c r="BF994" s="3"/>
      <c r="BG994" s="3"/>
    </row>
    <row r="995" spans="1:59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  <c r="BD995" s="3"/>
      <c r="BE995" s="3"/>
      <c r="BF995" s="3"/>
      <c r="BG995" s="3"/>
    </row>
    <row r="996" spans="1:59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  <c r="BD996" s="3"/>
      <c r="BE996" s="3"/>
      <c r="BF996" s="3"/>
      <c r="BG996" s="3"/>
    </row>
    <row r="997" spans="1:59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  <c r="BD997" s="3"/>
      <c r="BE997" s="3"/>
      <c r="BF997" s="3"/>
      <c r="BG997" s="3"/>
    </row>
    <row r="998" spans="1:59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  <c r="BG998" s="3"/>
    </row>
    <row r="999" spans="1:5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/>
      <c r="BG999" s="3"/>
    </row>
  </sheetData>
  <mergeCells count="171">
    <mergeCell ref="AO60:AP60"/>
    <mergeCell ref="AE59:AF59"/>
    <mergeCell ref="AG59:AH59"/>
    <mergeCell ref="AI59:AJ59"/>
    <mergeCell ref="AK59:AL59"/>
    <mergeCell ref="AM59:AN59"/>
    <mergeCell ref="E60:G60"/>
    <mergeCell ref="H60:J60"/>
    <mergeCell ref="K60:M60"/>
    <mergeCell ref="N60:P60"/>
    <mergeCell ref="Q60:S60"/>
    <mergeCell ref="T60:V60"/>
    <mergeCell ref="W60:Y60"/>
    <mergeCell ref="Z60:AB60"/>
    <mergeCell ref="AC60:AD60"/>
    <mergeCell ref="AE60:AF60"/>
    <mergeCell ref="AG60:AH60"/>
    <mergeCell ref="AI60:AJ60"/>
    <mergeCell ref="AK60:AL60"/>
    <mergeCell ref="AM60:AN60"/>
    <mergeCell ref="E59:G59"/>
    <mergeCell ref="H59:J59"/>
    <mergeCell ref="K59:M59"/>
    <mergeCell ref="N59:P59"/>
    <mergeCell ref="Q59:S59"/>
    <mergeCell ref="T59:V59"/>
    <mergeCell ref="W59:Y59"/>
    <mergeCell ref="Z59:AB59"/>
    <mergeCell ref="AC59:AD59"/>
    <mergeCell ref="E58:G58"/>
    <mergeCell ref="H58:J58"/>
    <mergeCell ref="K58:M58"/>
    <mergeCell ref="N58:P58"/>
    <mergeCell ref="Q58:S58"/>
    <mergeCell ref="T58:V58"/>
    <mergeCell ref="W58:Y58"/>
    <mergeCell ref="Z58:AB58"/>
    <mergeCell ref="AC58:AD58"/>
    <mergeCell ref="E57:G57"/>
    <mergeCell ref="H57:J57"/>
    <mergeCell ref="K57:M57"/>
    <mergeCell ref="N57:P57"/>
    <mergeCell ref="Q57:S57"/>
    <mergeCell ref="T57:V57"/>
    <mergeCell ref="W57:Y57"/>
    <mergeCell ref="Z57:AB57"/>
    <mergeCell ref="AC57:AD57"/>
    <mergeCell ref="E56:G56"/>
    <mergeCell ref="H56:J56"/>
    <mergeCell ref="K56:M56"/>
    <mergeCell ref="N56:P56"/>
    <mergeCell ref="Q56:S56"/>
    <mergeCell ref="T56:V56"/>
    <mergeCell ref="W56:Y56"/>
    <mergeCell ref="Z56:AB56"/>
    <mergeCell ref="AC56:AD56"/>
    <mergeCell ref="AC54:AH54"/>
    <mergeCell ref="AI54:AL54"/>
    <mergeCell ref="AM54:AN55"/>
    <mergeCell ref="AO54:AP59"/>
    <mergeCell ref="AC55:AD55"/>
    <mergeCell ref="AE55:AF55"/>
    <mergeCell ref="AG55:AH55"/>
    <mergeCell ref="AI55:AJ55"/>
    <mergeCell ref="AK55:AL55"/>
    <mergeCell ref="AE56:AF56"/>
    <mergeCell ref="AG56:AH56"/>
    <mergeCell ref="AI56:AJ56"/>
    <mergeCell ref="AK56:AL56"/>
    <mergeCell ref="AM56:AN56"/>
    <mergeCell ref="AE57:AF57"/>
    <mergeCell ref="AG57:AH57"/>
    <mergeCell ref="AI57:AJ57"/>
    <mergeCell ref="AK57:AL57"/>
    <mergeCell ref="AM57:AN57"/>
    <mergeCell ref="AE58:AF58"/>
    <mergeCell ref="AG58:AH58"/>
    <mergeCell ref="AI58:AJ58"/>
    <mergeCell ref="AK58:AL58"/>
    <mergeCell ref="AM58:AN58"/>
    <mergeCell ref="D54:D55"/>
    <mergeCell ref="E54:G55"/>
    <mergeCell ref="H54:J55"/>
    <mergeCell ref="K54:M55"/>
    <mergeCell ref="N54:P55"/>
    <mergeCell ref="Q54:S55"/>
    <mergeCell ref="T54:V55"/>
    <mergeCell ref="W54:Y55"/>
    <mergeCell ref="Z54:AB55"/>
    <mergeCell ref="A51:C52"/>
    <mergeCell ref="D51:D52"/>
    <mergeCell ref="E51:K51"/>
    <mergeCell ref="L51:R51"/>
    <mergeCell ref="S51:Y51"/>
    <mergeCell ref="Z51:AF51"/>
    <mergeCell ref="AG51:AM51"/>
    <mergeCell ref="E52:K52"/>
    <mergeCell ref="L52:R52"/>
    <mergeCell ref="S52:Y52"/>
    <mergeCell ref="Z52:AF52"/>
    <mergeCell ref="AG52:AM52"/>
    <mergeCell ref="A36:A40"/>
    <mergeCell ref="E37:K37"/>
    <mergeCell ref="AG37:AM37"/>
    <mergeCell ref="A41:A44"/>
    <mergeCell ref="A45:A49"/>
    <mergeCell ref="AG48:AM48"/>
    <mergeCell ref="A50:C50"/>
    <mergeCell ref="E50:K50"/>
    <mergeCell ref="L50:R50"/>
    <mergeCell ref="S50:Y50"/>
    <mergeCell ref="Z50:AF50"/>
    <mergeCell ref="AG50:AM50"/>
    <mergeCell ref="AN28:AN29"/>
    <mergeCell ref="AO28:AO29"/>
    <mergeCell ref="AX28:AZ28"/>
    <mergeCell ref="BA28:BB28"/>
    <mergeCell ref="A30:A31"/>
    <mergeCell ref="P30:R30"/>
    <mergeCell ref="A32:A35"/>
    <mergeCell ref="S35:Y35"/>
    <mergeCell ref="Z35:AF35"/>
    <mergeCell ref="AG35:AM35"/>
    <mergeCell ref="A28:A29"/>
    <mergeCell ref="B28:B29"/>
    <mergeCell ref="C28:C29"/>
    <mergeCell ref="D28:D29"/>
    <mergeCell ref="E28:K28"/>
    <mergeCell ref="L28:R28"/>
    <mergeCell ref="S28:Y28"/>
    <mergeCell ref="Z28:AF28"/>
    <mergeCell ref="AG28:AM28"/>
    <mergeCell ref="A18:A21"/>
    <mergeCell ref="S18:Y18"/>
    <mergeCell ref="A22:A25"/>
    <mergeCell ref="AG24:AM24"/>
    <mergeCell ref="AK25:AM25"/>
    <mergeCell ref="A26:C26"/>
    <mergeCell ref="E26:K26"/>
    <mergeCell ref="L26:R26"/>
    <mergeCell ref="S26:Y26"/>
    <mergeCell ref="Z26:AF26"/>
    <mergeCell ref="AG26:AM26"/>
    <mergeCell ref="A5:A8"/>
    <mergeCell ref="E5:K5"/>
    <mergeCell ref="O5:R5"/>
    <mergeCell ref="A9:A12"/>
    <mergeCell ref="A13:A17"/>
    <mergeCell ref="AG13:AM13"/>
    <mergeCell ref="E14:K14"/>
    <mergeCell ref="L14:R14"/>
    <mergeCell ref="E17:K17"/>
    <mergeCell ref="A1:AN1"/>
    <mergeCell ref="B2:L2"/>
    <mergeCell ref="AI2:AN2"/>
    <mergeCell ref="AS2:AT2"/>
    <mergeCell ref="AX2:AZ2"/>
    <mergeCell ref="BA2:BB2"/>
    <mergeCell ref="A3:A4"/>
    <mergeCell ref="B3:B4"/>
    <mergeCell ref="C3:C4"/>
    <mergeCell ref="D3:D4"/>
    <mergeCell ref="E3:K3"/>
    <mergeCell ref="L3:R3"/>
    <mergeCell ref="S3:Y3"/>
    <mergeCell ref="Z3:AF3"/>
    <mergeCell ref="AG3:AM3"/>
    <mergeCell ref="AN3:AN4"/>
    <mergeCell ref="AO3:AO4"/>
    <mergeCell ref="AX3:AZ3"/>
    <mergeCell ref="BA3:BB3"/>
  </mergeCells>
  <dataValidations count="2">
    <dataValidation type="list" allowBlank="1" showErrorMessage="1" sqref="L53:X53" xr:uid="{00000000-0002-0000-0100-000000000000}">
      <formula1>$AP$4:$AZ$4</formula1>
    </dataValidation>
    <dataValidation type="list" operator="equal" allowBlank="1" showErrorMessage="1" sqref="E38:I49 E30:I36 Z30:AD34 S30:W30 AG38:AM47 AG36:AM36 AG14:AM23 AG25:AJ25 S5:W5 L15:W15 E18:I25 E15:I16 L16:R18 Z49:AC49 L30:O30 L5:N5 E6:I13 L13:R13 S13:W14 L6:W12 Z5:AD25 AG5:AM12 AG30:AM34 AG49:AM49 S34:W34 L31:W33 L34:R35 L36:W49 Z36:AD48 L19:W25 S16:W17" xr:uid="{00000000-0002-0000-0100-000001000000}">
      <formula1>$AP$4:$BB$4</formula1>
    </dataValidation>
  </dataValidations>
  <pageMargins left="0.31902778148651123" right="0.24763889610767365" top="0.27958333492279053" bottom="0.31736111640930176" header="0" footer="0"/>
  <pageSetup paperSize="9" scale="36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BP999"/>
  <sheetViews>
    <sheetView zoomScale="70" zoomScaleNormal="70" zoomScaleSheetLayoutView="70" workbookViewId="0">
      <pane xSplit="4" ySplit="4" topLeftCell="E5" activePane="bottomRight" state="frozen"/>
      <selection pane="bottomRight" activeCell="O6" sqref="O6"/>
      <selection pane="bottomLeft"/>
      <selection pane="topRight"/>
    </sheetView>
  </sheetViews>
  <sheetFormatPr defaultColWidth="12.625" defaultRowHeight="15" customHeight="1"/>
  <cols>
    <col min="1" max="2" width="3.25" customWidth="1"/>
    <col min="3" max="3" width="16.125" bestFit="1" customWidth="1"/>
    <col min="4" max="4" width="6" customWidth="1"/>
    <col min="5" max="39" width="4.5" customWidth="1"/>
    <col min="40" max="40" width="6.125" bestFit="1" customWidth="1"/>
    <col min="41" max="41" width="5.125" customWidth="1"/>
    <col min="42" max="43" width="4.25" customWidth="1"/>
    <col min="44" max="44" width="4.375" customWidth="1"/>
    <col min="45" max="45" width="3.5" customWidth="1"/>
    <col min="46" max="46" width="4.25" customWidth="1"/>
    <col min="47" max="47" width="4.375" bestFit="1" customWidth="1"/>
    <col min="48" max="48" width="3.875" customWidth="1"/>
    <col min="49" max="49" width="3.5" customWidth="1"/>
    <col min="50" max="50" width="4.125" customWidth="1"/>
    <col min="51" max="51" width="3.5" customWidth="1"/>
    <col min="52" max="52" width="4.375" customWidth="1"/>
    <col min="53" max="54" width="4" customWidth="1"/>
    <col min="55" max="59" width="7.625" customWidth="1"/>
  </cols>
  <sheetData>
    <row r="1" spans="1:60" ht="28.5" customHeight="1">
      <c r="A1" s="115" t="s">
        <v>0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15"/>
      <c r="AM1" s="115"/>
      <c r="AN1" s="115"/>
      <c r="AO1" s="1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3"/>
      <c r="BB1" s="3"/>
      <c r="BC1" s="3"/>
      <c r="BD1" s="3"/>
      <c r="BE1" s="3"/>
      <c r="BF1" s="3"/>
      <c r="BG1" s="3"/>
    </row>
    <row r="2" spans="1:60" ht="20.25" customHeight="1">
      <c r="A2" s="4"/>
      <c r="B2" s="116" t="s">
        <v>1</v>
      </c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6"/>
      <c r="AA2" s="7"/>
      <c r="AB2" s="7"/>
      <c r="AC2" s="7"/>
      <c r="AD2" s="7"/>
      <c r="AE2" s="7"/>
      <c r="AF2" s="7"/>
      <c r="AG2" s="7"/>
      <c r="AH2" s="7"/>
      <c r="AI2" s="117" t="s">
        <v>109</v>
      </c>
      <c r="AJ2" s="117"/>
      <c r="AK2" s="117"/>
      <c r="AL2" s="117"/>
      <c r="AM2" s="117"/>
      <c r="AN2" s="117"/>
      <c r="AO2" s="5"/>
      <c r="AP2" s="8"/>
      <c r="AQ2" s="8"/>
      <c r="AR2" s="8"/>
      <c r="AS2" s="118"/>
      <c r="AT2" s="118"/>
      <c r="AU2" s="9"/>
      <c r="AV2" s="9"/>
      <c r="AW2" s="9"/>
      <c r="AX2" s="119"/>
      <c r="AY2" s="175"/>
      <c r="AZ2" s="175"/>
      <c r="BA2" s="120"/>
      <c r="BB2" s="175"/>
      <c r="BC2" s="6"/>
      <c r="BD2" s="6"/>
      <c r="BE2" s="6"/>
      <c r="BF2" s="6"/>
      <c r="BG2" s="6"/>
    </row>
    <row r="3" spans="1:60" ht="24" customHeight="1">
      <c r="A3" s="121" t="s">
        <v>3</v>
      </c>
      <c r="B3" s="122" t="s">
        <v>4</v>
      </c>
      <c r="C3" s="122" t="s">
        <v>5</v>
      </c>
      <c r="D3" s="123" t="s">
        <v>6</v>
      </c>
      <c r="E3" s="124" t="s">
        <v>7</v>
      </c>
      <c r="F3" s="176"/>
      <c r="G3" s="176"/>
      <c r="H3" s="176"/>
      <c r="I3" s="176"/>
      <c r="J3" s="176"/>
      <c r="K3" s="177"/>
      <c r="L3" s="124" t="s">
        <v>8</v>
      </c>
      <c r="M3" s="176"/>
      <c r="N3" s="176"/>
      <c r="O3" s="176"/>
      <c r="P3" s="176"/>
      <c r="Q3" s="176"/>
      <c r="R3" s="177"/>
      <c r="S3" s="124" t="s">
        <v>9</v>
      </c>
      <c r="T3" s="176"/>
      <c r="U3" s="176"/>
      <c r="V3" s="176"/>
      <c r="W3" s="176"/>
      <c r="X3" s="176"/>
      <c r="Y3" s="177"/>
      <c r="Z3" s="124" t="s">
        <v>10</v>
      </c>
      <c r="AA3" s="176"/>
      <c r="AB3" s="176"/>
      <c r="AC3" s="176"/>
      <c r="AD3" s="176"/>
      <c r="AE3" s="176"/>
      <c r="AF3" s="177"/>
      <c r="AG3" s="124" t="s">
        <v>11</v>
      </c>
      <c r="AH3" s="176"/>
      <c r="AI3" s="176"/>
      <c r="AJ3" s="176"/>
      <c r="AK3" s="176"/>
      <c r="AL3" s="176"/>
      <c r="AM3" s="177"/>
      <c r="AN3" s="125" t="s">
        <v>12</v>
      </c>
      <c r="AO3" s="126"/>
      <c r="AP3" s="10"/>
      <c r="AQ3" s="10"/>
      <c r="AR3" s="10"/>
      <c r="AS3" s="10"/>
      <c r="AT3" s="10"/>
      <c r="AU3" s="10"/>
      <c r="AV3" s="10"/>
      <c r="AW3" s="12"/>
      <c r="AX3" s="127" t="s">
        <v>13</v>
      </c>
      <c r="AY3" s="178"/>
      <c r="AZ3" s="178"/>
      <c r="BA3" s="128" t="s">
        <v>14</v>
      </c>
      <c r="BB3" s="178"/>
      <c r="BC3" s="12"/>
      <c r="BD3" s="12"/>
      <c r="BE3" s="12"/>
      <c r="BF3" s="12"/>
      <c r="BG3" s="12"/>
    </row>
    <row r="4" spans="1:60" ht="24" customHeight="1">
      <c r="A4" s="179"/>
      <c r="B4" s="180"/>
      <c r="C4" s="180"/>
      <c r="D4" s="181"/>
      <c r="E4" s="46">
        <v>1</v>
      </c>
      <c r="F4" s="47">
        <v>2</v>
      </c>
      <c r="G4" s="47">
        <v>3</v>
      </c>
      <c r="H4" s="47">
        <v>4</v>
      </c>
      <c r="I4" s="47">
        <v>5</v>
      </c>
      <c r="J4" s="47">
        <v>6</v>
      </c>
      <c r="K4" s="48">
        <v>7</v>
      </c>
      <c r="L4" s="46">
        <v>1</v>
      </c>
      <c r="M4" s="47">
        <v>2</v>
      </c>
      <c r="N4" s="47">
        <v>3</v>
      </c>
      <c r="O4" s="47">
        <v>4</v>
      </c>
      <c r="P4" s="47">
        <v>5</v>
      </c>
      <c r="Q4" s="47">
        <v>6</v>
      </c>
      <c r="R4" s="48">
        <v>7</v>
      </c>
      <c r="S4" s="46">
        <v>1</v>
      </c>
      <c r="T4" s="47">
        <v>2</v>
      </c>
      <c r="U4" s="47">
        <v>3</v>
      </c>
      <c r="V4" s="47">
        <v>4</v>
      </c>
      <c r="W4" s="47">
        <v>5</v>
      </c>
      <c r="X4" s="47">
        <v>6</v>
      </c>
      <c r="Y4" s="48">
        <v>7</v>
      </c>
      <c r="Z4" s="46">
        <v>1</v>
      </c>
      <c r="AA4" s="47">
        <v>2</v>
      </c>
      <c r="AB4" s="47">
        <v>3</v>
      </c>
      <c r="AC4" s="47">
        <v>4</v>
      </c>
      <c r="AD4" s="47">
        <v>5</v>
      </c>
      <c r="AE4" s="47">
        <v>6</v>
      </c>
      <c r="AF4" s="48">
        <v>7</v>
      </c>
      <c r="AG4" s="46">
        <v>1</v>
      </c>
      <c r="AH4" s="47">
        <v>2</v>
      </c>
      <c r="AI4" s="47">
        <v>3</v>
      </c>
      <c r="AJ4" s="47">
        <v>4</v>
      </c>
      <c r="AK4" s="47">
        <v>5</v>
      </c>
      <c r="AL4" s="47">
        <v>6</v>
      </c>
      <c r="AM4" s="48">
        <v>7</v>
      </c>
      <c r="AN4" s="182"/>
      <c r="AO4" s="126"/>
      <c r="AP4" s="14" t="s">
        <v>15</v>
      </c>
      <c r="AQ4" s="14" t="s">
        <v>16</v>
      </c>
      <c r="AR4" s="14" t="s">
        <v>17</v>
      </c>
      <c r="AS4" s="14" t="s">
        <v>18</v>
      </c>
      <c r="AT4" s="14" t="s">
        <v>19</v>
      </c>
      <c r="AU4" s="14" t="s">
        <v>20</v>
      </c>
      <c r="AV4" s="34" t="s">
        <v>21</v>
      </c>
      <c r="AW4" s="36" t="s">
        <v>22</v>
      </c>
      <c r="AX4" s="37" t="s">
        <v>23</v>
      </c>
      <c r="AY4" s="35" t="s">
        <v>24</v>
      </c>
      <c r="AZ4" s="35" t="s">
        <v>25</v>
      </c>
      <c r="BA4" s="35" t="s">
        <v>26</v>
      </c>
      <c r="BB4" s="35" t="s">
        <v>27</v>
      </c>
      <c r="BC4" s="15" t="s">
        <v>28</v>
      </c>
      <c r="BD4" s="12"/>
      <c r="BE4" s="12"/>
      <c r="BF4" s="12"/>
      <c r="BG4" s="12"/>
      <c r="BH4" s="12"/>
    </row>
    <row r="5" spans="1:60" ht="28.5" customHeight="1">
      <c r="A5" s="129">
        <v>3</v>
      </c>
      <c r="B5" s="49">
        <v>1</v>
      </c>
      <c r="C5" s="49" t="s">
        <v>29</v>
      </c>
      <c r="D5" s="50">
        <v>4</v>
      </c>
      <c r="E5" s="130" t="s">
        <v>30</v>
      </c>
      <c r="F5" s="183"/>
      <c r="G5" s="183"/>
      <c r="H5" s="183"/>
      <c r="I5" s="183"/>
      <c r="J5" s="183"/>
      <c r="K5" s="184"/>
      <c r="L5" s="51" t="s">
        <v>16</v>
      </c>
      <c r="M5" s="28" t="s">
        <v>16</v>
      </c>
      <c r="N5" s="28" t="s">
        <v>24</v>
      </c>
      <c r="O5" s="131" t="s">
        <v>31</v>
      </c>
      <c r="P5" s="132"/>
      <c r="Q5" s="132"/>
      <c r="R5" s="133"/>
      <c r="S5" s="51" t="s">
        <v>17</v>
      </c>
      <c r="T5" s="28" t="s">
        <v>15</v>
      </c>
      <c r="U5" s="28" t="s">
        <v>20</v>
      </c>
      <c r="V5" s="28" t="s">
        <v>23</v>
      </c>
      <c r="W5" s="28" t="s">
        <v>15</v>
      </c>
      <c r="X5" s="29"/>
      <c r="Y5" s="52"/>
      <c r="Z5" s="51" t="s">
        <v>17</v>
      </c>
      <c r="AA5" s="28" t="s">
        <v>22</v>
      </c>
      <c r="AB5" s="28" t="s">
        <v>22</v>
      </c>
      <c r="AC5" s="28" t="s">
        <v>26</v>
      </c>
      <c r="AD5" s="28" t="s">
        <v>20</v>
      </c>
      <c r="AE5" s="29"/>
      <c r="AF5" s="52"/>
      <c r="AG5" s="85" t="s">
        <v>21</v>
      </c>
      <c r="AH5" s="28" t="s">
        <v>23</v>
      </c>
      <c r="AI5" s="28" t="s">
        <v>23</v>
      </c>
      <c r="AJ5" s="28" t="s">
        <v>27</v>
      </c>
      <c r="AK5" s="28" t="s">
        <v>18</v>
      </c>
      <c r="AL5" s="28" t="s">
        <v>21</v>
      </c>
      <c r="AM5" s="53" t="s">
        <v>15</v>
      </c>
      <c r="AN5" s="54"/>
      <c r="AO5" s="18"/>
      <c r="AP5" s="19">
        <f t="shared" ref="AP5:AP25" si="0">COUNTIF(E5:AM5,"=국")</f>
        <v>3</v>
      </c>
      <c r="AQ5" s="19">
        <f t="shared" ref="AQ5:AQ25" si="1">COUNTIF(E5:AM5,"=수")</f>
        <v>2</v>
      </c>
      <c r="AR5" s="19">
        <f t="shared" ref="AR5:AR25" si="2">COUNTIF(E5:AM5,"=사")</f>
        <v>2</v>
      </c>
      <c r="AS5" s="19">
        <f t="shared" ref="AS5:AS25" si="3">COUNTIF(E5:AM5,"=과")</f>
        <v>1</v>
      </c>
      <c r="AT5" s="19">
        <f>COUNTIF(E5:AM5,"=실")</f>
        <v>0</v>
      </c>
      <c r="AU5" s="19">
        <f>COUNTIF(E5:AN5,"=체")</f>
        <v>2</v>
      </c>
      <c r="AV5" s="19">
        <f>COUNTIF(E5:AM5,"=음")</f>
        <v>2</v>
      </c>
      <c r="AW5" s="38">
        <f t="shared" ref="AW5:AW25" si="4">COUNTIF(E5:AM5,"=미")</f>
        <v>2</v>
      </c>
      <c r="AX5" s="19">
        <f t="shared" ref="AX5:AX25" si="5">COUNTIF(E5:AM5,"=자")</f>
        <v>3</v>
      </c>
      <c r="AY5" s="19">
        <f t="shared" ref="AY5:AY25" si="6">COUNTIF(E5:AM5,"=동")</f>
        <v>1</v>
      </c>
      <c r="AZ5" s="19">
        <f t="shared" ref="AZ5:AZ25" si="7">COUNTIF(E5:AM5,"=진")</f>
        <v>0</v>
      </c>
      <c r="BA5" s="19">
        <f t="shared" ref="BA5:BA25" si="8">COUNTIF(E5:AM5,"=의")</f>
        <v>1</v>
      </c>
      <c r="BB5" s="19">
        <f t="shared" ref="BB5:BB25" si="9">COUNTIF(E5:AM5,"=선")</f>
        <v>1</v>
      </c>
      <c r="BC5" s="15">
        <f t="shared" ref="BC5:BC26" si="10">SUM(AP5:BB5)</f>
        <v>20</v>
      </c>
      <c r="BD5" s="12"/>
      <c r="BE5" s="12"/>
      <c r="BF5" s="12"/>
      <c r="BG5" s="12"/>
      <c r="BH5" s="12"/>
    </row>
    <row r="6" spans="1:60" ht="28.5" customHeight="1">
      <c r="A6" s="185"/>
      <c r="B6" s="13">
        <v>2</v>
      </c>
      <c r="C6" s="13" t="s">
        <v>32</v>
      </c>
      <c r="D6" s="40">
        <v>5</v>
      </c>
      <c r="E6" s="41" t="s">
        <v>15</v>
      </c>
      <c r="F6" s="16" t="s">
        <v>23</v>
      </c>
      <c r="G6" s="16" t="s">
        <v>26</v>
      </c>
      <c r="H6" s="81" t="s">
        <v>27</v>
      </c>
      <c r="I6" s="16" t="s">
        <v>18</v>
      </c>
      <c r="J6" s="17"/>
      <c r="K6" s="42"/>
      <c r="L6" s="41" t="s">
        <v>16</v>
      </c>
      <c r="M6" s="16" t="s">
        <v>16</v>
      </c>
      <c r="N6" s="16" t="s">
        <v>24</v>
      </c>
      <c r="O6" s="16" t="s">
        <v>15</v>
      </c>
      <c r="P6" s="16" t="s">
        <v>27</v>
      </c>
      <c r="Q6" s="16" t="s">
        <v>19</v>
      </c>
      <c r="R6" s="43" t="s">
        <v>19</v>
      </c>
      <c r="S6" s="41" t="s">
        <v>17</v>
      </c>
      <c r="T6" s="16" t="s">
        <v>15</v>
      </c>
      <c r="U6" s="16" t="s">
        <v>20</v>
      </c>
      <c r="V6" s="16" t="s">
        <v>23</v>
      </c>
      <c r="W6" s="16" t="s">
        <v>15</v>
      </c>
      <c r="X6" s="17"/>
      <c r="Y6" s="42"/>
      <c r="Z6" s="51" t="s">
        <v>17</v>
      </c>
      <c r="AA6" s="28" t="s">
        <v>22</v>
      </c>
      <c r="AB6" s="28" t="s">
        <v>22</v>
      </c>
      <c r="AC6" s="28" t="s">
        <v>26</v>
      </c>
      <c r="AD6" s="28" t="s">
        <v>20</v>
      </c>
      <c r="AE6" s="17"/>
      <c r="AF6" s="42"/>
      <c r="AG6" s="85" t="s">
        <v>21</v>
      </c>
      <c r="AH6" s="28" t="s">
        <v>23</v>
      </c>
      <c r="AI6" s="28" t="s">
        <v>23</v>
      </c>
      <c r="AJ6" s="28" t="s">
        <v>27</v>
      </c>
      <c r="AK6" s="28" t="s">
        <v>18</v>
      </c>
      <c r="AL6" s="28" t="s">
        <v>21</v>
      </c>
      <c r="AM6" s="53" t="s">
        <v>15</v>
      </c>
      <c r="AN6" s="44"/>
      <c r="AO6" s="18"/>
      <c r="AP6" s="19">
        <f t="shared" si="0"/>
        <v>5</v>
      </c>
      <c r="AQ6" s="19">
        <f t="shared" si="1"/>
        <v>2</v>
      </c>
      <c r="AR6" s="19">
        <f t="shared" si="2"/>
        <v>2</v>
      </c>
      <c r="AS6" s="19">
        <f t="shared" si="3"/>
        <v>2</v>
      </c>
      <c r="AT6" s="19">
        <f>COUNTIF(E6:AM6,"=실")</f>
        <v>2</v>
      </c>
      <c r="AU6" s="19">
        <f t="shared" ref="AU6:AU25" si="11">COUNTIF(E6:AN6,"=체")</f>
        <v>2</v>
      </c>
      <c r="AV6" s="19">
        <f t="shared" ref="AV6:AV25" si="12">COUNTIF(E6:AM6,"=음")</f>
        <v>2</v>
      </c>
      <c r="AW6" s="19">
        <f t="shared" si="4"/>
        <v>2</v>
      </c>
      <c r="AX6" s="19">
        <f t="shared" si="5"/>
        <v>4</v>
      </c>
      <c r="AY6" s="19">
        <f t="shared" si="6"/>
        <v>1</v>
      </c>
      <c r="AZ6" s="19">
        <f t="shared" si="7"/>
        <v>0</v>
      </c>
      <c r="BA6" s="19">
        <f t="shared" si="8"/>
        <v>2</v>
      </c>
      <c r="BB6" s="19">
        <f t="shared" si="9"/>
        <v>3</v>
      </c>
      <c r="BC6" s="15">
        <f t="shared" si="10"/>
        <v>29</v>
      </c>
      <c r="BD6" s="12"/>
      <c r="BE6" s="12"/>
      <c r="BF6" s="12"/>
      <c r="BG6" s="12"/>
      <c r="BH6" s="12"/>
    </row>
    <row r="7" spans="1:60" ht="28.5" customHeight="1">
      <c r="A7" s="185"/>
      <c r="B7" s="13">
        <v>3</v>
      </c>
      <c r="C7" s="13" t="s">
        <v>33</v>
      </c>
      <c r="D7" s="40">
        <v>5</v>
      </c>
      <c r="E7" s="82" t="s">
        <v>26</v>
      </c>
      <c r="F7" s="16" t="s">
        <v>23</v>
      </c>
      <c r="G7" s="16" t="s">
        <v>26</v>
      </c>
      <c r="H7" s="81" t="s">
        <v>27</v>
      </c>
      <c r="I7" s="16" t="s">
        <v>18</v>
      </c>
      <c r="J7" s="17"/>
      <c r="K7" s="42"/>
      <c r="L7" s="41" t="s">
        <v>16</v>
      </c>
      <c r="M7" s="16" t="s">
        <v>16</v>
      </c>
      <c r="N7" s="16" t="s">
        <v>24</v>
      </c>
      <c r="O7" s="16" t="s">
        <v>15</v>
      </c>
      <c r="P7" s="16" t="s">
        <v>27</v>
      </c>
      <c r="Q7" s="16" t="s">
        <v>19</v>
      </c>
      <c r="R7" s="43" t="s">
        <v>19</v>
      </c>
      <c r="S7" s="51" t="s">
        <v>17</v>
      </c>
      <c r="T7" s="28" t="s">
        <v>15</v>
      </c>
      <c r="U7" s="28" t="s">
        <v>20</v>
      </c>
      <c r="V7" s="28" t="s">
        <v>23</v>
      </c>
      <c r="W7" s="28" t="s">
        <v>15</v>
      </c>
      <c r="X7" s="17"/>
      <c r="Y7" s="42"/>
      <c r="Z7" s="51" t="s">
        <v>17</v>
      </c>
      <c r="AA7" s="28" t="s">
        <v>22</v>
      </c>
      <c r="AB7" s="28" t="s">
        <v>22</v>
      </c>
      <c r="AC7" s="28" t="s">
        <v>26</v>
      </c>
      <c r="AD7" s="28" t="s">
        <v>20</v>
      </c>
      <c r="AE7" s="17"/>
      <c r="AF7" s="42"/>
      <c r="AG7" s="51" t="s">
        <v>16</v>
      </c>
      <c r="AH7" s="28" t="s">
        <v>23</v>
      </c>
      <c r="AI7" s="28" t="s">
        <v>23</v>
      </c>
      <c r="AJ7" s="28" t="s">
        <v>27</v>
      </c>
      <c r="AK7" s="28" t="s">
        <v>18</v>
      </c>
      <c r="AL7" s="28" t="s">
        <v>21</v>
      </c>
      <c r="AM7" s="53" t="s">
        <v>15</v>
      </c>
      <c r="AN7" s="44"/>
      <c r="AO7" s="18"/>
      <c r="AP7" s="19">
        <f t="shared" si="0"/>
        <v>4</v>
      </c>
      <c r="AQ7" s="19">
        <f t="shared" si="1"/>
        <v>3</v>
      </c>
      <c r="AR7" s="19">
        <f t="shared" si="2"/>
        <v>2</v>
      </c>
      <c r="AS7" s="19">
        <f t="shared" si="3"/>
        <v>2</v>
      </c>
      <c r="AT7" s="19">
        <f t="shared" ref="AT7:AT25" si="13">COUNTIF(E7:AM7,"=실")</f>
        <v>2</v>
      </c>
      <c r="AU7" s="19">
        <f t="shared" si="11"/>
        <v>2</v>
      </c>
      <c r="AV7" s="19">
        <f t="shared" si="12"/>
        <v>1</v>
      </c>
      <c r="AW7" s="19">
        <f t="shared" si="4"/>
        <v>2</v>
      </c>
      <c r="AX7" s="19">
        <f t="shared" si="5"/>
        <v>4</v>
      </c>
      <c r="AY7" s="19">
        <f t="shared" si="6"/>
        <v>1</v>
      </c>
      <c r="AZ7" s="19">
        <f t="shared" si="7"/>
        <v>0</v>
      </c>
      <c r="BA7" s="19">
        <f t="shared" si="8"/>
        <v>3</v>
      </c>
      <c r="BB7" s="19">
        <f t="shared" si="9"/>
        <v>3</v>
      </c>
      <c r="BC7" s="15">
        <f t="shared" si="10"/>
        <v>29</v>
      </c>
      <c r="BD7" s="12"/>
      <c r="BE7" s="12"/>
      <c r="BF7" s="12"/>
      <c r="BG7" s="12"/>
      <c r="BH7" s="12"/>
    </row>
    <row r="8" spans="1:60" ht="28.5" customHeight="1">
      <c r="A8" s="186"/>
      <c r="B8" s="13">
        <v>4</v>
      </c>
      <c r="C8" s="13" t="s">
        <v>34</v>
      </c>
      <c r="D8" s="40">
        <v>5</v>
      </c>
      <c r="E8" s="82" t="s">
        <v>26</v>
      </c>
      <c r="F8" s="16" t="s">
        <v>23</v>
      </c>
      <c r="G8" s="16" t="s">
        <v>26</v>
      </c>
      <c r="H8" s="81" t="s">
        <v>27</v>
      </c>
      <c r="I8" s="16" t="s">
        <v>18</v>
      </c>
      <c r="J8" s="17"/>
      <c r="K8" s="42"/>
      <c r="L8" s="41" t="s">
        <v>16</v>
      </c>
      <c r="M8" s="16" t="s">
        <v>16</v>
      </c>
      <c r="N8" s="16" t="s">
        <v>24</v>
      </c>
      <c r="O8" s="16" t="s">
        <v>15</v>
      </c>
      <c r="P8" s="16" t="s">
        <v>27</v>
      </c>
      <c r="Q8" s="16" t="s">
        <v>19</v>
      </c>
      <c r="R8" s="43" t="s">
        <v>19</v>
      </c>
      <c r="S8" s="41" t="s">
        <v>17</v>
      </c>
      <c r="T8" s="16" t="s">
        <v>15</v>
      </c>
      <c r="U8" s="16" t="s">
        <v>20</v>
      </c>
      <c r="V8" s="16" t="s">
        <v>23</v>
      </c>
      <c r="W8" s="16" t="s">
        <v>15</v>
      </c>
      <c r="X8" s="17"/>
      <c r="Y8" s="42"/>
      <c r="Z8" s="51" t="s">
        <v>17</v>
      </c>
      <c r="AA8" s="28" t="s">
        <v>22</v>
      </c>
      <c r="AB8" s="28" t="s">
        <v>22</v>
      </c>
      <c r="AC8" s="28" t="s">
        <v>26</v>
      </c>
      <c r="AD8" s="28" t="s">
        <v>20</v>
      </c>
      <c r="AE8" s="17"/>
      <c r="AF8" s="42"/>
      <c r="AG8" s="51" t="s">
        <v>16</v>
      </c>
      <c r="AH8" s="28" t="s">
        <v>23</v>
      </c>
      <c r="AI8" s="28" t="s">
        <v>23</v>
      </c>
      <c r="AJ8" s="28" t="s">
        <v>27</v>
      </c>
      <c r="AK8" s="89" t="s">
        <v>25</v>
      </c>
      <c r="AL8" s="28" t="s">
        <v>21</v>
      </c>
      <c r="AM8" s="53" t="s">
        <v>15</v>
      </c>
      <c r="AN8" s="44"/>
      <c r="AO8" s="18"/>
      <c r="AP8" s="19">
        <f t="shared" si="0"/>
        <v>4</v>
      </c>
      <c r="AQ8" s="19">
        <f t="shared" si="1"/>
        <v>3</v>
      </c>
      <c r="AR8" s="19">
        <f t="shared" si="2"/>
        <v>2</v>
      </c>
      <c r="AS8" s="19">
        <f t="shared" si="3"/>
        <v>1</v>
      </c>
      <c r="AT8" s="19">
        <f t="shared" si="13"/>
        <v>2</v>
      </c>
      <c r="AU8" s="19">
        <f t="shared" si="11"/>
        <v>2</v>
      </c>
      <c r="AV8" s="19">
        <f t="shared" si="12"/>
        <v>1</v>
      </c>
      <c r="AW8" s="19">
        <f t="shared" si="4"/>
        <v>2</v>
      </c>
      <c r="AX8" s="19">
        <f t="shared" si="5"/>
        <v>4</v>
      </c>
      <c r="AY8" s="19">
        <f t="shared" si="6"/>
        <v>1</v>
      </c>
      <c r="AZ8" s="19">
        <f t="shared" si="7"/>
        <v>1</v>
      </c>
      <c r="BA8" s="19">
        <f t="shared" si="8"/>
        <v>3</v>
      </c>
      <c r="BB8" s="19">
        <f t="shared" si="9"/>
        <v>3</v>
      </c>
      <c r="BC8" s="15">
        <f t="shared" si="10"/>
        <v>29</v>
      </c>
      <c r="BD8" s="12"/>
      <c r="BE8" s="12"/>
      <c r="BF8" s="12"/>
      <c r="BG8" s="12"/>
      <c r="BH8" s="12"/>
    </row>
    <row r="9" spans="1:60" ht="28.5" customHeight="1">
      <c r="A9" s="134">
        <v>4</v>
      </c>
      <c r="B9" s="13">
        <v>5</v>
      </c>
      <c r="C9" s="13" t="s">
        <v>35</v>
      </c>
      <c r="D9" s="40">
        <v>5</v>
      </c>
      <c r="E9" s="82" t="s">
        <v>26</v>
      </c>
      <c r="F9" s="16" t="s">
        <v>23</v>
      </c>
      <c r="G9" s="16" t="s">
        <v>26</v>
      </c>
      <c r="H9" s="81" t="s">
        <v>27</v>
      </c>
      <c r="I9" s="16" t="s">
        <v>18</v>
      </c>
      <c r="J9" s="17"/>
      <c r="K9" s="42"/>
      <c r="L9" s="41" t="s">
        <v>16</v>
      </c>
      <c r="M9" s="16" t="s">
        <v>16</v>
      </c>
      <c r="N9" s="16" t="s">
        <v>24</v>
      </c>
      <c r="O9" s="16" t="s">
        <v>15</v>
      </c>
      <c r="P9" s="16" t="s">
        <v>27</v>
      </c>
      <c r="Q9" s="16" t="s">
        <v>19</v>
      </c>
      <c r="R9" s="43" t="s">
        <v>19</v>
      </c>
      <c r="S9" s="51" t="s">
        <v>17</v>
      </c>
      <c r="T9" s="28" t="s">
        <v>15</v>
      </c>
      <c r="U9" s="28" t="s">
        <v>20</v>
      </c>
      <c r="V9" s="28" t="s">
        <v>23</v>
      </c>
      <c r="W9" s="28" t="s">
        <v>15</v>
      </c>
      <c r="X9" s="17"/>
      <c r="Y9" s="42"/>
      <c r="Z9" s="51" t="s">
        <v>17</v>
      </c>
      <c r="AA9" s="28" t="s">
        <v>22</v>
      </c>
      <c r="AB9" s="28" t="s">
        <v>22</v>
      </c>
      <c r="AC9" s="28" t="s">
        <v>26</v>
      </c>
      <c r="AD9" s="28" t="s">
        <v>20</v>
      </c>
      <c r="AE9" s="17"/>
      <c r="AF9" s="42"/>
      <c r="AG9" s="51" t="s">
        <v>16</v>
      </c>
      <c r="AH9" s="28" t="s">
        <v>23</v>
      </c>
      <c r="AI9" s="28" t="s">
        <v>23</v>
      </c>
      <c r="AJ9" s="28" t="s">
        <v>27</v>
      </c>
      <c r="AK9" s="28" t="s">
        <v>18</v>
      </c>
      <c r="AL9" s="28" t="s">
        <v>21</v>
      </c>
      <c r="AM9" s="53" t="s">
        <v>15</v>
      </c>
      <c r="AN9" s="44"/>
      <c r="AO9" s="18"/>
      <c r="AP9" s="19">
        <f t="shared" si="0"/>
        <v>4</v>
      </c>
      <c r="AQ9" s="19">
        <f t="shared" si="1"/>
        <v>3</v>
      </c>
      <c r="AR9" s="19">
        <f t="shared" si="2"/>
        <v>2</v>
      </c>
      <c r="AS9" s="19">
        <f t="shared" si="3"/>
        <v>2</v>
      </c>
      <c r="AT9" s="19">
        <f t="shared" si="13"/>
        <v>2</v>
      </c>
      <c r="AU9" s="19">
        <f t="shared" si="11"/>
        <v>2</v>
      </c>
      <c r="AV9" s="19">
        <f t="shared" si="12"/>
        <v>1</v>
      </c>
      <c r="AW9" s="19">
        <f t="shared" si="4"/>
        <v>2</v>
      </c>
      <c r="AX9" s="19">
        <f t="shared" si="5"/>
        <v>4</v>
      </c>
      <c r="AY9" s="19">
        <f t="shared" si="6"/>
        <v>1</v>
      </c>
      <c r="AZ9" s="19">
        <f t="shared" si="7"/>
        <v>0</v>
      </c>
      <c r="BA9" s="19">
        <f t="shared" si="8"/>
        <v>3</v>
      </c>
      <c r="BB9" s="19">
        <f t="shared" si="9"/>
        <v>3</v>
      </c>
      <c r="BC9" s="15">
        <f t="shared" si="10"/>
        <v>29</v>
      </c>
      <c r="BD9" s="12"/>
      <c r="BE9" s="12"/>
      <c r="BF9" s="12"/>
      <c r="BG9" s="12"/>
      <c r="BH9" s="12"/>
    </row>
    <row r="10" spans="1:60" ht="28.5" customHeight="1">
      <c r="A10" s="185"/>
      <c r="B10" s="13">
        <v>6</v>
      </c>
      <c r="C10" s="13" t="s">
        <v>36</v>
      </c>
      <c r="D10" s="40">
        <v>5</v>
      </c>
      <c r="E10" s="82" t="s">
        <v>26</v>
      </c>
      <c r="F10" s="16" t="s">
        <v>23</v>
      </c>
      <c r="G10" s="16" t="s">
        <v>26</v>
      </c>
      <c r="H10" s="81" t="s">
        <v>27</v>
      </c>
      <c r="I10" s="16" t="s">
        <v>18</v>
      </c>
      <c r="J10" s="17"/>
      <c r="K10" s="42"/>
      <c r="L10" s="41" t="s">
        <v>16</v>
      </c>
      <c r="M10" s="16" t="s">
        <v>16</v>
      </c>
      <c r="N10" s="16" t="s">
        <v>24</v>
      </c>
      <c r="O10" s="16" t="s">
        <v>15</v>
      </c>
      <c r="P10" s="16" t="s">
        <v>27</v>
      </c>
      <c r="Q10" s="16" t="s">
        <v>19</v>
      </c>
      <c r="R10" s="43" t="s">
        <v>19</v>
      </c>
      <c r="S10" s="41" t="s">
        <v>17</v>
      </c>
      <c r="T10" s="16" t="s">
        <v>15</v>
      </c>
      <c r="U10" s="16" t="s">
        <v>20</v>
      </c>
      <c r="V10" s="16" t="s">
        <v>23</v>
      </c>
      <c r="W10" s="16" t="s">
        <v>15</v>
      </c>
      <c r="X10" s="17"/>
      <c r="Y10" s="42"/>
      <c r="Z10" s="51" t="s">
        <v>17</v>
      </c>
      <c r="AA10" s="28" t="s">
        <v>22</v>
      </c>
      <c r="AB10" s="28" t="s">
        <v>22</v>
      </c>
      <c r="AC10" s="28" t="s">
        <v>26</v>
      </c>
      <c r="AD10" s="28" t="s">
        <v>20</v>
      </c>
      <c r="AE10" s="17"/>
      <c r="AF10" s="42"/>
      <c r="AG10" s="51" t="s">
        <v>16</v>
      </c>
      <c r="AH10" s="28" t="s">
        <v>23</v>
      </c>
      <c r="AI10" s="28" t="s">
        <v>23</v>
      </c>
      <c r="AJ10" s="28" t="s">
        <v>27</v>
      </c>
      <c r="AK10" s="28" t="s">
        <v>18</v>
      </c>
      <c r="AL10" s="28" t="s">
        <v>21</v>
      </c>
      <c r="AM10" s="53" t="s">
        <v>15</v>
      </c>
      <c r="AN10" s="44"/>
      <c r="AO10" s="18"/>
      <c r="AP10" s="19">
        <f t="shared" si="0"/>
        <v>4</v>
      </c>
      <c r="AQ10" s="19">
        <f t="shared" si="1"/>
        <v>3</v>
      </c>
      <c r="AR10" s="19">
        <f t="shared" si="2"/>
        <v>2</v>
      </c>
      <c r="AS10" s="19">
        <f t="shared" si="3"/>
        <v>2</v>
      </c>
      <c r="AT10" s="19">
        <f t="shared" si="13"/>
        <v>2</v>
      </c>
      <c r="AU10" s="19">
        <f t="shared" si="11"/>
        <v>2</v>
      </c>
      <c r="AV10" s="19">
        <f t="shared" si="12"/>
        <v>1</v>
      </c>
      <c r="AW10" s="19">
        <f t="shared" si="4"/>
        <v>2</v>
      </c>
      <c r="AX10" s="19">
        <f t="shared" si="5"/>
        <v>4</v>
      </c>
      <c r="AY10" s="19">
        <f t="shared" si="6"/>
        <v>1</v>
      </c>
      <c r="AZ10" s="19">
        <f t="shared" si="7"/>
        <v>0</v>
      </c>
      <c r="BA10" s="19">
        <f t="shared" si="8"/>
        <v>3</v>
      </c>
      <c r="BB10" s="19">
        <f t="shared" si="9"/>
        <v>3</v>
      </c>
      <c r="BC10" s="15">
        <f t="shared" si="10"/>
        <v>29</v>
      </c>
      <c r="BD10" s="12"/>
      <c r="BE10" s="12"/>
      <c r="BF10" s="12"/>
      <c r="BG10" s="12"/>
      <c r="BH10" s="12"/>
    </row>
    <row r="11" spans="1:60" ht="28.5" customHeight="1">
      <c r="A11" s="185"/>
      <c r="B11" s="13">
        <v>7</v>
      </c>
      <c r="C11" s="13" t="s">
        <v>37</v>
      </c>
      <c r="D11" s="40">
        <v>5</v>
      </c>
      <c r="E11" s="82" t="s">
        <v>26</v>
      </c>
      <c r="F11" s="16" t="s">
        <v>23</v>
      </c>
      <c r="G11" s="16" t="s">
        <v>26</v>
      </c>
      <c r="H11" s="81" t="s">
        <v>27</v>
      </c>
      <c r="I11" s="16" t="s">
        <v>18</v>
      </c>
      <c r="J11" s="17"/>
      <c r="K11" s="42"/>
      <c r="L11" s="41" t="s">
        <v>16</v>
      </c>
      <c r="M11" s="16" t="s">
        <v>16</v>
      </c>
      <c r="N11" s="16" t="s">
        <v>24</v>
      </c>
      <c r="O11" s="16" t="s">
        <v>15</v>
      </c>
      <c r="P11" s="16" t="s">
        <v>27</v>
      </c>
      <c r="Q11" s="16" t="s">
        <v>19</v>
      </c>
      <c r="R11" s="43" t="s">
        <v>19</v>
      </c>
      <c r="S11" s="51" t="s">
        <v>17</v>
      </c>
      <c r="T11" s="28" t="s">
        <v>15</v>
      </c>
      <c r="U11" s="28" t="s">
        <v>20</v>
      </c>
      <c r="V11" s="28" t="s">
        <v>23</v>
      </c>
      <c r="W11" s="28" t="s">
        <v>15</v>
      </c>
      <c r="X11" s="17"/>
      <c r="Y11" s="42"/>
      <c r="Z11" s="51" t="s">
        <v>17</v>
      </c>
      <c r="AA11" s="28" t="s">
        <v>22</v>
      </c>
      <c r="AB11" s="28" t="s">
        <v>22</v>
      </c>
      <c r="AC11" s="28" t="s">
        <v>26</v>
      </c>
      <c r="AD11" s="28" t="s">
        <v>20</v>
      </c>
      <c r="AE11" s="17"/>
      <c r="AF11" s="42"/>
      <c r="AG11" s="51" t="s">
        <v>16</v>
      </c>
      <c r="AH11" s="28" t="s">
        <v>23</v>
      </c>
      <c r="AI11" s="28" t="s">
        <v>23</v>
      </c>
      <c r="AJ11" s="28" t="s">
        <v>27</v>
      </c>
      <c r="AK11" s="28" t="s">
        <v>18</v>
      </c>
      <c r="AL11" s="28" t="s">
        <v>21</v>
      </c>
      <c r="AM11" s="53" t="s">
        <v>15</v>
      </c>
      <c r="AN11" s="44"/>
      <c r="AO11" s="18"/>
      <c r="AP11" s="19">
        <f t="shared" si="0"/>
        <v>4</v>
      </c>
      <c r="AQ11" s="19">
        <f t="shared" si="1"/>
        <v>3</v>
      </c>
      <c r="AR11" s="19">
        <f t="shared" si="2"/>
        <v>2</v>
      </c>
      <c r="AS11" s="19">
        <f t="shared" si="3"/>
        <v>2</v>
      </c>
      <c r="AT11" s="19">
        <f t="shared" si="13"/>
        <v>2</v>
      </c>
      <c r="AU11" s="19">
        <f t="shared" si="11"/>
        <v>2</v>
      </c>
      <c r="AV11" s="19">
        <f t="shared" si="12"/>
        <v>1</v>
      </c>
      <c r="AW11" s="19">
        <f t="shared" si="4"/>
        <v>2</v>
      </c>
      <c r="AX11" s="19">
        <f t="shared" si="5"/>
        <v>4</v>
      </c>
      <c r="AY11" s="19">
        <f t="shared" si="6"/>
        <v>1</v>
      </c>
      <c r="AZ11" s="19">
        <f t="shared" si="7"/>
        <v>0</v>
      </c>
      <c r="BA11" s="19">
        <f t="shared" si="8"/>
        <v>3</v>
      </c>
      <c r="BB11" s="19">
        <f t="shared" si="9"/>
        <v>3</v>
      </c>
      <c r="BC11" s="15">
        <f t="shared" si="10"/>
        <v>29</v>
      </c>
      <c r="BD11" s="12"/>
      <c r="BE11" s="12"/>
      <c r="BF11" s="12"/>
      <c r="BG11" s="12"/>
      <c r="BH11" s="12"/>
    </row>
    <row r="12" spans="1:60" ht="28.5" customHeight="1">
      <c r="A12" s="186"/>
      <c r="B12" s="13">
        <v>8</v>
      </c>
      <c r="C12" s="13" t="s">
        <v>38</v>
      </c>
      <c r="D12" s="40">
        <v>5</v>
      </c>
      <c r="E12" s="82" t="s">
        <v>26</v>
      </c>
      <c r="F12" s="16" t="s">
        <v>23</v>
      </c>
      <c r="G12" s="16" t="s">
        <v>26</v>
      </c>
      <c r="H12" s="16" t="s">
        <v>17</v>
      </c>
      <c r="I12" s="16" t="s">
        <v>18</v>
      </c>
      <c r="J12" s="17"/>
      <c r="K12" s="42"/>
      <c r="L12" s="41" t="s">
        <v>16</v>
      </c>
      <c r="M12" s="16" t="s">
        <v>16</v>
      </c>
      <c r="N12" s="16" t="s">
        <v>24</v>
      </c>
      <c r="O12" s="16" t="s">
        <v>15</v>
      </c>
      <c r="P12" s="16" t="s">
        <v>27</v>
      </c>
      <c r="Q12" s="16" t="s">
        <v>19</v>
      </c>
      <c r="R12" s="43" t="s">
        <v>19</v>
      </c>
      <c r="S12" s="41" t="s">
        <v>17</v>
      </c>
      <c r="T12" s="16" t="s">
        <v>15</v>
      </c>
      <c r="U12" s="16" t="s">
        <v>20</v>
      </c>
      <c r="V12" s="16" t="s">
        <v>23</v>
      </c>
      <c r="W12" s="16" t="s">
        <v>15</v>
      </c>
      <c r="X12" s="17"/>
      <c r="Y12" s="42"/>
      <c r="Z12" s="51" t="s">
        <v>17</v>
      </c>
      <c r="AA12" s="28" t="s">
        <v>22</v>
      </c>
      <c r="AB12" s="28" t="s">
        <v>22</v>
      </c>
      <c r="AC12" s="28" t="s">
        <v>26</v>
      </c>
      <c r="AD12" s="28" t="s">
        <v>20</v>
      </c>
      <c r="AE12" s="17"/>
      <c r="AF12" s="42"/>
      <c r="AG12" s="51" t="s">
        <v>16</v>
      </c>
      <c r="AH12" s="28" t="s">
        <v>23</v>
      </c>
      <c r="AI12" s="28" t="s">
        <v>23</v>
      </c>
      <c r="AJ12" s="28" t="s">
        <v>27</v>
      </c>
      <c r="AK12" s="28" t="s">
        <v>18</v>
      </c>
      <c r="AL12" s="28" t="s">
        <v>21</v>
      </c>
      <c r="AM12" s="53" t="s">
        <v>15</v>
      </c>
      <c r="AN12" s="44"/>
      <c r="AO12" s="18"/>
      <c r="AP12" s="19">
        <f t="shared" si="0"/>
        <v>4</v>
      </c>
      <c r="AQ12" s="19">
        <f t="shared" si="1"/>
        <v>3</v>
      </c>
      <c r="AR12" s="19">
        <f t="shared" si="2"/>
        <v>3</v>
      </c>
      <c r="AS12" s="19">
        <f t="shared" si="3"/>
        <v>2</v>
      </c>
      <c r="AT12" s="19">
        <f t="shared" si="13"/>
        <v>2</v>
      </c>
      <c r="AU12" s="19">
        <f t="shared" si="11"/>
        <v>2</v>
      </c>
      <c r="AV12" s="19">
        <f t="shared" si="12"/>
        <v>1</v>
      </c>
      <c r="AW12" s="19">
        <f t="shared" si="4"/>
        <v>2</v>
      </c>
      <c r="AX12" s="19">
        <f t="shared" si="5"/>
        <v>4</v>
      </c>
      <c r="AY12" s="19">
        <f t="shared" si="6"/>
        <v>1</v>
      </c>
      <c r="AZ12" s="19">
        <f t="shared" si="7"/>
        <v>0</v>
      </c>
      <c r="BA12" s="19">
        <f t="shared" si="8"/>
        <v>3</v>
      </c>
      <c r="BB12" s="19">
        <f t="shared" si="9"/>
        <v>2</v>
      </c>
      <c r="BC12" s="15">
        <f t="shared" si="10"/>
        <v>29</v>
      </c>
      <c r="BD12" s="12"/>
      <c r="BE12" s="12"/>
      <c r="BF12" s="12"/>
      <c r="BG12" s="12"/>
      <c r="BH12" s="12"/>
    </row>
    <row r="13" spans="1:60" ht="28.5" customHeight="1">
      <c r="A13" s="134">
        <v>5</v>
      </c>
      <c r="B13" s="13">
        <v>9</v>
      </c>
      <c r="C13" s="13" t="s">
        <v>39</v>
      </c>
      <c r="D13" s="40">
        <v>4</v>
      </c>
      <c r="E13" s="82" t="s">
        <v>26</v>
      </c>
      <c r="F13" s="16" t="s">
        <v>23</v>
      </c>
      <c r="G13" s="16" t="s">
        <v>26</v>
      </c>
      <c r="H13" s="16" t="s">
        <v>17</v>
      </c>
      <c r="I13" s="16" t="s">
        <v>18</v>
      </c>
      <c r="J13" s="17"/>
      <c r="K13" s="42"/>
      <c r="L13" s="41" t="s">
        <v>16</v>
      </c>
      <c r="M13" s="16" t="s">
        <v>16</v>
      </c>
      <c r="N13" s="89" t="s">
        <v>25</v>
      </c>
      <c r="O13" s="16" t="s">
        <v>15</v>
      </c>
      <c r="P13" s="16" t="s">
        <v>27</v>
      </c>
      <c r="Q13" s="16" t="s">
        <v>19</v>
      </c>
      <c r="R13" s="43" t="s">
        <v>19</v>
      </c>
      <c r="S13" s="51" t="s">
        <v>17</v>
      </c>
      <c r="T13" s="28" t="s">
        <v>15</v>
      </c>
      <c r="U13" s="28" t="s">
        <v>20</v>
      </c>
      <c r="V13" s="28" t="s">
        <v>23</v>
      </c>
      <c r="W13" s="28" t="s">
        <v>15</v>
      </c>
      <c r="X13" s="17"/>
      <c r="Y13" s="42"/>
      <c r="Z13" s="51" t="s">
        <v>17</v>
      </c>
      <c r="AA13" s="28" t="s">
        <v>22</v>
      </c>
      <c r="AB13" s="28" t="s">
        <v>22</v>
      </c>
      <c r="AC13" s="28" t="s">
        <v>26</v>
      </c>
      <c r="AD13" s="28" t="s">
        <v>20</v>
      </c>
      <c r="AE13" s="17"/>
      <c r="AF13" s="42"/>
      <c r="AG13" s="135" t="s">
        <v>40</v>
      </c>
      <c r="AH13" s="187"/>
      <c r="AI13" s="187"/>
      <c r="AJ13" s="187"/>
      <c r="AK13" s="187"/>
      <c r="AL13" s="187"/>
      <c r="AM13" s="188"/>
      <c r="AN13" s="45"/>
      <c r="AO13" s="18"/>
      <c r="AP13" s="19">
        <f t="shared" si="0"/>
        <v>3</v>
      </c>
      <c r="AQ13" s="19">
        <f t="shared" si="1"/>
        <v>2</v>
      </c>
      <c r="AR13" s="19">
        <f t="shared" si="2"/>
        <v>3</v>
      </c>
      <c r="AS13" s="19">
        <f t="shared" si="3"/>
        <v>1</v>
      </c>
      <c r="AT13" s="19">
        <f t="shared" si="13"/>
        <v>2</v>
      </c>
      <c r="AU13" s="19">
        <f t="shared" si="11"/>
        <v>2</v>
      </c>
      <c r="AV13" s="19">
        <f t="shared" si="12"/>
        <v>0</v>
      </c>
      <c r="AW13" s="19">
        <f t="shared" si="4"/>
        <v>2</v>
      </c>
      <c r="AX13" s="19">
        <f t="shared" si="5"/>
        <v>2</v>
      </c>
      <c r="AY13" s="19">
        <f t="shared" si="6"/>
        <v>0</v>
      </c>
      <c r="AZ13" s="19">
        <f t="shared" si="7"/>
        <v>1</v>
      </c>
      <c r="BA13" s="19">
        <f t="shared" si="8"/>
        <v>3</v>
      </c>
      <c r="BB13" s="19">
        <f t="shared" si="9"/>
        <v>1</v>
      </c>
      <c r="BC13" s="15">
        <f t="shared" si="10"/>
        <v>22</v>
      </c>
      <c r="BD13" s="12"/>
      <c r="BE13" s="12"/>
      <c r="BF13" s="12"/>
      <c r="BG13" s="12"/>
      <c r="BH13" s="12"/>
    </row>
    <row r="14" spans="1:60" ht="28.5" customHeight="1">
      <c r="A14" s="185"/>
      <c r="B14" s="13">
        <v>10</v>
      </c>
      <c r="C14" s="13" t="s">
        <v>41</v>
      </c>
      <c r="D14" s="40">
        <v>3</v>
      </c>
      <c r="E14" s="135" t="s">
        <v>30</v>
      </c>
      <c r="F14" s="187"/>
      <c r="G14" s="187"/>
      <c r="H14" s="187"/>
      <c r="I14" s="187"/>
      <c r="J14" s="187"/>
      <c r="K14" s="188"/>
      <c r="L14" s="135" t="s">
        <v>42</v>
      </c>
      <c r="M14" s="187"/>
      <c r="N14" s="187"/>
      <c r="O14" s="187"/>
      <c r="P14" s="187"/>
      <c r="Q14" s="187"/>
      <c r="R14" s="188"/>
      <c r="S14" s="41" t="s">
        <v>17</v>
      </c>
      <c r="T14" s="16" t="s">
        <v>15</v>
      </c>
      <c r="U14" s="16" t="s">
        <v>20</v>
      </c>
      <c r="V14" s="16" t="s">
        <v>23</v>
      </c>
      <c r="W14" s="16" t="s">
        <v>15</v>
      </c>
      <c r="X14" s="17"/>
      <c r="Y14" s="42"/>
      <c r="Z14" s="51" t="s">
        <v>17</v>
      </c>
      <c r="AA14" s="28" t="s">
        <v>22</v>
      </c>
      <c r="AB14" s="28" t="s">
        <v>22</v>
      </c>
      <c r="AC14" s="28" t="s">
        <v>26</v>
      </c>
      <c r="AD14" s="28" t="s">
        <v>20</v>
      </c>
      <c r="AE14" s="17"/>
      <c r="AF14" s="42"/>
      <c r="AG14" s="51" t="s">
        <v>16</v>
      </c>
      <c r="AH14" s="28" t="s">
        <v>23</v>
      </c>
      <c r="AI14" s="28" t="s">
        <v>23</v>
      </c>
      <c r="AJ14" s="28" t="s">
        <v>27</v>
      </c>
      <c r="AK14" s="28" t="s">
        <v>18</v>
      </c>
      <c r="AL14" s="28" t="s">
        <v>21</v>
      </c>
      <c r="AM14" s="53" t="s">
        <v>15</v>
      </c>
      <c r="AN14" s="44"/>
      <c r="AO14" s="18"/>
      <c r="AP14" s="19">
        <f t="shared" si="0"/>
        <v>3</v>
      </c>
      <c r="AQ14" s="19">
        <f t="shared" si="1"/>
        <v>1</v>
      </c>
      <c r="AR14" s="19">
        <f t="shared" si="2"/>
        <v>2</v>
      </c>
      <c r="AS14" s="19">
        <f t="shared" si="3"/>
        <v>1</v>
      </c>
      <c r="AT14" s="19">
        <f t="shared" si="13"/>
        <v>0</v>
      </c>
      <c r="AU14" s="19">
        <f t="shared" si="11"/>
        <v>2</v>
      </c>
      <c r="AV14" s="19">
        <f t="shared" si="12"/>
        <v>1</v>
      </c>
      <c r="AW14" s="19">
        <f t="shared" si="4"/>
        <v>2</v>
      </c>
      <c r="AX14" s="19">
        <f t="shared" si="5"/>
        <v>3</v>
      </c>
      <c r="AY14" s="19">
        <f t="shared" si="6"/>
        <v>0</v>
      </c>
      <c r="AZ14" s="19">
        <f t="shared" si="7"/>
        <v>0</v>
      </c>
      <c r="BA14" s="19">
        <f t="shared" si="8"/>
        <v>1</v>
      </c>
      <c r="BB14" s="19">
        <f t="shared" si="9"/>
        <v>1</v>
      </c>
      <c r="BC14" s="15">
        <f t="shared" si="10"/>
        <v>17</v>
      </c>
      <c r="BD14" s="12"/>
      <c r="BE14" s="12"/>
      <c r="BF14" s="12"/>
      <c r="BG14" s="12"/>
      <c r="BH14" s="12"/>
    </row>
    <row r="15" spans="1:60" ht="28.5" customHeight="1">
      <c r="A15" s="185"/>
      <c r="B15" s="13">
        <v>11</v>
      </c>
      <c r="C15" s="13" t="s">
        <v>43</v>
      </c>
      <c r="D15" s="40">
        <v>5</v>
      </c>
      <c r="E15" s="82" t="s">
        <v>26</v>
      </c>
      <c r="F15" s="16" t="s">
        <v>23</v>
      </c>
      <c r="G15" s="16" t="s">
        <v>26</v>
      </c>
      <c r="H15" s="16" t="s">
        <v>17</v>
      </c>
      <c r="I15" s="16" t="s">
        <v>18</v>
      </c>
      <c r="J15" s="17"/>
      <c r="K15" s="42"/>
      <c r="L15" s="41" t="s">
        <v>16</v>
      </c>
      <c r="M15" s="16" t="s">
        <v>16</v>
      </c>
      <c r="N15" s="16" t="s">
        <v>24</v>
      </c>
      <c r="O15" s="16" t="s">
        <v>15</v>
      </c>
      <c r="P15" s="16" t="s">
        <v>27</v>
      </c>
      <c r="Q15" s="81" t="s">
        <v>20</v>
      </c>
      <c r="R15" s="43" t="s">
        <v>19</v>
      </c>
      <c r="S15" s="51" t="s">
        <v>17</v>
      </c>
      <c r="T15" s="28" t="s">
        <v>15</v>
      </c>
      <c r="U15" s="28" t="s">
        <v>20</v>
      </c>
      <c r="V15" s="28" t="s">
        <v>23</v>
      </c>
      <c r="W15" s="28" t="s">
        <v>15</v>
      </c>
      <c r="X15" s="17"/>
      <c r="Y15" s="42"/>
      <c r="Z15" s="51" t="s">
        <v>17</v>
      </c>
      <c r="AA15" s="84" t="s">
        <v>21</v>
      </c>
      <c r="AB15" s="28" t="s">
        <v>22</v>
      </c>
      <c r="AC15" s="28" t="s">
        <v>26</v>
      </c>
      <c r="AD15" s="28" t="s">
        <v>20</v>
      </c>
      <c r="AE15" s="17"/>
      <c r="AF15" s="42"/>
      <c r="AG15" s="51" t="s">
        <v>16</v>
      </c>
      <c r="AH15" s="28" t="s">
        <v>23</v>
      </c>
      <c r="AI15" s="28" t="s">
        <v>23</v>
      </c>
      <c r="AJ15" s="28" t="s">
        <v>27</v>
      </c>
      <c r="AK15" s="28" t="s">
        <v>18</v>
      </c>
      <c r="AL15" s="28" t="s">
        <v>21</v>
      </c>
      <c r="AM15" s="53" t="s">
        <v>15</v>
      </c>
      <c r="AN15" s="44"/>
      <c r="AO15" s="18"/>
      <c r="AP15" s="19">
        <f t="shared" si="0"/>
        <v>4</v>
      </c>
      <c r="AQ15" s="19">
        <f t="shared" si="1"/>
        <v>3</v>
      </c>
      <c r="AR15" s="19">
        <f t="shared" si="2"/>
        <v>3</v>
      </c>
      <c r="AS15" s="19">
        <f t="shared" si="3"/>
        <v>2</v>
      </c>
      <c r="AT15" s="19">
        <f t="shared" si="13"/>
        <v>1</v>
      </c>
      <c r="AU15" s="19">
        <f t="shared" si="11"/>
        <v>3</v>
      </c>
      <c r="AV15" s="19">
        <f t="shared" si="12"/>
        <v>2</v>
      </c>
      <c r="AW15" s="19">
        <f t="shared" si="4"/>
        <v>1</v>
      </c>
      <c r="AX15" s="19">
        <f t="shared" si="5"/>
        <v>4</v>
      </c>
      <c r="AY15" s="19">
        <f t="shared" si="6"/>
        <v>1</v>
      </c>
      <c r="AZ15" s="19">
        <f t="shared" si="7"/>
        <v>0</v>
      </c>
      <c r="BA15" s="19">
        <f t="shared" si="8"/>
        <v>3</v>
      </c>
      <c r="BB15" s="19">
        <f t="shared" si="9"/>
        <v>2</v>
      </c>
      <c r="BC15" s="15">
        <f t="shared" si="10"/>
        <v>29</v>
      </c>
      <c r="BD15" s="12"/>
      <c r="BE15" s="12"/>
      <c r="BF15" s="12"/>
      <c r="BG15" s="12"/>
      <c r="BH15" s="12"/>
    </row>
    <row r="16" spans="1:60" ht="28.5" customHeight="1">
      <c r="A16" s="185"/>
      <c r="B16" s="13">
        <v>12</v>
      </c>
      <c r="C16" s="13" t="s">
        <v>44</v>
      </c>
      <c r="D16" s="40">
        <v>5</v>
      </c>
      <c r="E16" s="82" t="s">
        <v>26</v>
      </c>
      <c r="F16" s="16" t="s">
        <v>23</v>
      </c>
      <c r="G16" s="16" t="s">
        <v>26</v>
      </c>
      <c r="H16" s="16" t="s">
        <v>17</v>
      </c>
      <c r="I16" s="16" t="s">
        <v>18</v>
      </c>
      <c r="J16" s="17"/>
      <c r="K16" s="42"/>
      <c r="L16" s="41" t="s">
        <v>16</v>
      </c>
      <c r="M16" s="16" t="s">
        <v>16</v>
      </c>
      <c r="N16" s="16" t="s">
        <v>24</v>
      </c>
      <c r="O16" s="16" t="s">
        <v>15</v>
      </c>
      <c r="P16" s="16" t="s">
        <v>27</v>
      </c>
      <c r="Q16" s="81" t="s">
        <v>20</v>
      </c>
      <c r="R16" s="43" t="s">
        <v>19</v>
      </c>
      <c r="S16" s="41" t="s">
        <v>17</v>
      </c>
      <c r="T16" s="16" t="s">
        <v>15</v>
      </c>
      <c r="U16" s="16" t="s">
        <v>20</v>
      </c>
      <c r="V16" s="16" t="s">
        <v>23</v>
      </c>
      <c r="W16" s="16" t="s">
        <v>15</v>
      </c>
      <c r="X16" s="17"/>
      <c r="Y16" s="42"/>
      <c r="Z16" s="51" t="s">
        <v>17</v>
      </c>
      <c r="AA16" s="84" t="s">
        <v>21</v>
      </c>
      <c r="AB16" s="28" t="s">
        <v>22</v>
      </c>
      <c r="AC16" s="28" t="s">
        <v>26</v>
      </c>
      <c r="AD16" s="28" t="s">
        <v>20</v>
      </c>
      <c r="AE16" s="17"/>
      <c r="AF16" s="42"/>
      <c r="AG16" s="51" t="s">
        <v>16</v>
      </c>
      <c r="AH16" s="28" t="s">
        <v>23</v>
      </c>
      <c r="AI16" s="28" t="s">
        <v>23</v>
      </c>
      <c r="AJ16" s="28" t="s">
        <v>27</v>
      </c>
      <c r="AK16" s="28" t="s">
        <v>18</v>
      </c>
      <c r="AL16" s="28" t="s">
        <v>21</v>
      </c>
      <c r="AM16" s="53" t="s">
        <v>15</v>
      </c>
      <c r="AN16" s="44"/>
      <c r="AO16" s="18"/>
      <c r="AP16" s="19">
        <f t="shared" si="0"/>
        <v>4</v>
      </c>
      <c r="AQ16" s="19">
        <f t="shared" si="1"/>
        <v>3</v>
      </c>
      <c r="AR16" s="19">
        <f t="shared" si="2"/>
        <v>3</v>
      </c>
      <c r="AS16" s="19">
        <f t="shared" si="3"/>
        <v>2</v>
      </c>
      <c r="AT16" s="19">
        <f t="shared" si="13"/>
        <v>1</v>
      </c>
      <c r="AU16" s="19">
        <f t="shared" si="11"/>
        <v>3</v>
      </c>
      <c r="AV16" s="19">
        <f t="shared" si="12"/>
        <v>2</v>
      </c>
      <c r="AW16" s="19">
        <f t="shared" si="4"/>
        <v>1</v>
      </c>
      <c r="AX16" s="19">
        <f t="shared" si="5"/>
        <v>4</v>
      </c>
      <c r="AY16" s="19">
        <f t="shared" si="6"/>
        <v>1</v>
      </c>
      <c r="AZ16" s="19">
        <f t="shared" si="7"/>
        <v>0</v>
      </c>
      <c r="BA16" s="19">
        <f t="shared" si="8"/>
        <v>3</v>
      </c>
      <c r="BB16" s="19">
        <f t="shared" si="9"/>
        <v>2</v>
      </c>
      <c r="BC16" s="15">
        <f t="shared" si="10"/>
        <v>29</v>
      </c>
      <c r="BD16" s="12"/>
      <c r="BE16" s="12"/>
      <c r="BF16" s="12"/>
      <c r="BG16" s="12"/>
      <c r="BH16" s="12"/>
    </row>
    <row r="17" spans="1:60" ht="28.5" customHeight="1">
      <c r="A17" s="186"/>
      <c r="B17" s="13">
        <v>13</v>
      </c>
      <c r="C17" s="13" t="s">
        <v>45</v>
      </c>
      <c r="D17" s="40">
        <v>4</v>
      </c>
      <c r="E17" s="135" t="s">
        <v>30</v>
      </c>
      <c r="F17" s="187"/>
      <c r="G17" s="187"/>
      <c r="H17" s="187"/>
      <c r="I17" s="187"/>
      <c r="J17" s="187"/>
      <c r="K17" s="188"/>
      <c r="L17" s="41" t="s">
        <v>16</v>
      </c>
      <c r="M17" s="16" t="s">
        <v>16</v>
      </c>
      <c r="N17" s="89" t="s">
        <v>25</v>
      </c>
      <c r="O17" s="16" t="s">
        <v>15</v>
      </c>
      <c r="P17" s="16" t="s">
        <v>27</v>
      </c>
      <c r="Q17" s="81" t="s">
        <v>20</v>
      </c>
      <c r="R17" s="43" t="s">
        <v>19</v>
      </c>
      <c r="S17" s="51" t="s">
        <v>17</v>
      </c>
      <c r="T17" s="28" t="s">
        <v>15</v>
      </c>
      <c r="U17" s="28" t="s">
        <v>20</v>
      </c>
      <c r="V17" s="28" t="s">
        <v>23</v>
      </c>
      <c r="W17" s="28" t="s">
        <v>15</v>
      </c>
      <c r="X17" s="90"/>
      <c r="Y17" s="91"/>
      <c r="Z17" s="51" t="s">
        <v>17</v>
      </c>
      <c r="AA17" s="84" t="s">
        <v>21</v>
      </c>
      <c r="AB17" s="28" t="s">
        <v>22</v>
      </c>
      <c r="AC17" s="28" t="s">
        <v>26</v>
      </c>
      <c r="AD17" s="28" t="s">
        <v>20</v>
      </c>
      <c r="AE17" s="17"/>
      <c r="AF17" s="42"/>
      <c r="AG17" s="51" t="s">
        <v>16</v>
      </c>
      <c r="AH17" s="28" t="s">
        <v>23</v>
      </c>
      <c r="AI17" s="28" t="s">
        <v>23</v>
      </c>
      <c r="AJ17" s="28" t="s">
        <v>27</v>
      </c>
      <c r="AK17" s="28" t="s">
        <v>18</v>
      </c>
      <c r="AL17" s="28" t="s">
        <v>21</v>
      </c>
      <c r="AM17" s="53" t="s">
        <v>15</v>
      </c>
      <c r="AN17" s="44"/>
      <c r="AO17" s="18"/>
      <c r="AP17" s="19">
        <f t="shared" si="0"/>
        <v>4</v>
      </c>
      <c r="AQ17" s="19">
        <f t="shared" si="1"/>
        <v>3</v>
      </c>
      <c r="AR17" s="19">
        <f t="shared" si="2"/>
        <v>2</v>
      </c>
      <c r="AS17" s="19">
        <f t="shared" si="3"/>
        <v>1</v>
      </c>
      <c r="AT17" s="19">
        <f t="shared" si="13"/>
        <v>1</v>
      </c>
      <c r="AU17" s="19">
        <f t="shared" si="11"/>
        <v>3</v>
      </c>
      <c r="AV17" s="19">
        <f t="shared" si="12"/>
        <v>2</v>
      </c>
      <c r="AW17" s="19">
        <f t="shared" si="4"/>
        <v>1</v>
      </c>
      <c r="AX17" s="19">
        <f t="shared" si="5"/>
        <v>3</v>
      </c>
      <c r="AY17" s="19">
        <f t="shared" si="6"/>
        <v>0</v>
      </c>
      <c r="AZ17" s="19">
        <f t="shared" si="7"/>
        <v>1</v>
      </c>
      <c r="BA17" s="19">
        <f t="shared" si="8"/>
        <v>1</v>
      </c>
      <c r="BB17" s="19">
        <f t="shared" si="9"/>
        <v>2</v>
      </c>
      <c r="BC17" s="15">
        <f t="shared" si="10"/>
        <v>24</v>
      </c>
      <c r="BD17" s="12"/>
      <c r="BE17" s="12"/>
      <c r="BF17" s="12"/>
      <c r="BG17" s="12"/>
      <c r="BH17" s="12"/>
    </row>
    <row r="18" spans="1:60" ht="28.5" customHeight="1">
      <c r="A18" s="134">
        <v>6</v>
      </c>
      <c r="B18" s="13">
        <v>14</v>
      </c>
      <c r="C18" s="13" t="s">
        <v>46</v>
      </c>
      <c r="D18" s="40">
        <v>4</v>
      </c>
      <c r="E18" s="41" t="s">
        <v>15</v>
      </c>
      <c r="F18" s="16" t="s">
        <v>23</v>
      </c>
      <c r="G18" s="16" t="s">
        <v>26</v>
      </c>
      <c r="H18" s="16" t="s">
        <v>17</v>
      </c>
      <c r="I18" s="16" t="s">
        <v>18</v>
      </c>
      <c r="J18" s="17"/>
      <c r="K18" s="42"/>
      <c r="L18" s="41" t="s">
        <v>16</v>
      </c>
      <c r="M18" s="16" t="s">
        <v>16</v>
      </c>
      <c r="N18" s="16" t="s">
        <v>24</v>
      </c>
      <c r="O18" s="16" t="s">
        <v>15</v>
      </c>
      <c r="P18" s="16" t="s">
        <v>27</v>
      </c>
      <c r="Q18" s="81" t="s">
        <v>20</v>
      </c>
      <c r="R18" s="43" t="s">
        <v>19</v>
      </c>
      <c r="S18" s="135" t="s">
        <v>47</v>
      </c>
      <c r="T18" s="187"/>
      <c r="U18" s="187"/>
      <c r="V18" s="187"/>
      <c r="W18" s="187"/>
      <c r="X18" s="187"/>
      <c r="Y18" s="188"/>
      <c r="Z18" s="51" t="s">
        <v>17</v>
      </c>
      <c r="AA18" s="84" t="s">
        <v>21</v>
      </c>
      <c r="AB18" s="28" t="s">
        <v>22</v>
      </c>
      <c r="AC18" s="28" t="s">
        <v>26</v>
      </c>
      <c r="AD18" s="28" t="s">
        <v>20</v>
      </c>
      <c r="AE18" s="17"/>
      <c r="AF18" s="42"/>
      <c r="AG18" s="51" t="s">
        <v>16</v>
      </c>
      <c r="AH18" s="28" t="s">
        <v>23</v>
      </c>
      <c r="AI18" s="28" t="s">
        <v>23</v>
      </c>
      <c r="AJ18" s="28" t="s">
        <v>27</v>
      </c>
      <c r="AK18" s="28" t="s">
        <v>18</v>
      </c>
      <c r="AL18" s="28" t="s">
        <v>21</v>
      </c>
      <c r="AM18" s="53" t="s">
        <v>15</v>
      </c>
      <c r="AN18" s="44"/>
      <c r="AO18" s="18"/>
      <c r="AP18" s="19">
        <f t="shared" si="0"/>
        <v>3</v>
      </c>
      <c r="AQ18" s="19">
        <f t="shared" si="1"/>
        <v>3</v>
      </c>
      <c r="AR18" s="19">
        <f t="shared" si="2"/>
        <v>2</v>
      </c>
      <c r="AS18" s="19">
        <f t="shared" si="3"/>
        <v>2</v>
      </c>
      <c r="AT18" s="19">
        <f t="shared" si="13"/>
        <v>1</v>
      </c>
      <c r="AU18" s="19">
        <f t="shared" si="11"/>
        <v>2</v>
      </c>
      <c r="AV18" s="19">
        <f t="shared" si="12"/>
        <v>2</v>
      </c>
      <c r="AW18" s="19">
        <f t="shared" si="4"/>
        <v>1</v>
      </c>
      <c r="AX18" s="19">
        <f t="shared" si="5"/>
        <v>3</v>
      </c>
      <c r="AY18" s="19">
        <f t="shared" si="6"/>
        <v>1</v>
      </c>
      <c r="AZ18" s="19">
        <f t="shared" si="7"/>
        <v>0</v>
      </c>
      <c r="BA18" s="19">
        <f t="shared" si="8"/>
        <v>2</v>
      </c>
      <c r="BB18" s="19">
        <f t="shared" si="9"/>
        <v>2</v>
      </c>
      <c r="BC18" s="15">
        <f t="shared" si="10"/>
        <v>24</v>
      </c>
      <c r="BD18" s="12"/>
      <c r="BE18" s="12"/>
      <c r="BF18" s="12"/>
      <c r="BG18" s="12"/>
      <c r="BH18" s="12"/>
    </row>
    <row r="19" spans="1:60" ht="28.5" customHeight="1">
      <c r="A19" s="185"/>
      <c r="B19" s="13">
        <v>15</v>
      </c>
      <c r="C19" s="13" t="s">
        <v>48</v>
      </c>
      <c r="D19" s="40">
        <v>5</v>
      </c>
      <c r="E19" s="41" t="s">
        <v>15</v>
      </c>
      <c r="F19" s="16" t="s">
        <v>23</v>
      </c>
      <c r="G19" s="16" t="s">
        <v>26</v>
      </c>
      <c r="H19" s="16" t="s">
        <v>17</v>
      </c>
      <c r="I19" s="16" t="s">
        <v>18</v>
      </c>
      <c r="J19" s="17"/>
      <c r="K19" s="42"/>
      <c r="L19" s="41" t="s">
        <v>16</v>
      </c>
      <c r="M19" s="16" t="s">
        <v>16</v>
      </c>
      <c r="N19" s="16" t="s">
        <v>24</v>
      </c>
      <c r="O19" s="16" t="s">
        <v>15</v>
      </c>
      <c r="P19" s="16" t="s">
        <v>27</v>
      </c>
      <c r="Q19" s="81" t="s">
        <v>20</v>
      </c>
      <c r="R19" s="43" t="s">
        <v>19</v>
      </c>
      <c r="S19" s="51" t="s">
        <v>17</v>
      </c>
      <c r="T19" s="28" t="s">
        <v>15</v>
      </c>
      <c r="U19" s="28" t="s">
        <v>20</v>
      </c>
      <c r="V19" s="28" t="s">
        <v>23</v>
      </c>
      <c r="W19" s="28" t="s">
        <v>15</v>
      </c>
      <c r="X19" s="17"/>
      <c r="Y19" s="42"/>
      <c r="Z19" s="51" t="s">
        <v>17</v>
      </c>
      <c r="AA19" s="84" t="s">
        <v>21</v>
      </c>
      <c r="AB19" s="28" t="s">
        <v>22</v>
      </c>
      <c r="AC19" s="28" t="s">
        <v>26</v>
      </c>
      <c r="AD19" s="28" t="s">
        <v>20</v>
      </c>
      <c r="AE19" s="17"/>
      <c r="AF19" s="42"/>
      <c r="AG19" s="51" t="s">
        <v>16</v>
      </c>
      <c r="AH19" s="28" t="s">
        <v>23</v>
      </c>
      <c r="AI19" s="28" t="s">
        <v>23</v>
      </c>
      <c r="AJ19" s="28" t="s">
        <v>27</v>
      </c>
      <c r="AK19" s="28" t="s">
        <v>18</v>
      </c>
      <c r="AL19" s="28" t="s">
        <v>21</v>
      </c>
      <c r="AM19" s="53" t="s">
        <v>15</v>
      </c>
      <c r="AN19" s="44"/>
      <c r="AO19" s="18"/>
      <c r="AP19" s="19">
        <f t="shared" si="0"/>
        <v>5</v>
      </c>
      <c r="AQ19" s="19">
        <f t="shared" si="1"/>
        <v>3</v>
      </c>
      <c r="AR19" s="19">
        <f t="shared" si="2"/>
        <v>3</v>
      </c>
      <c r="AS19" s="19">
        <f t="shared" si="3"/>
        <v>2</v>
      </c>
      <c r="AT19" s="19">
        <f t="shared" si="13"/>
        <v>1</v>
      </c>
      <c r="AU19" s="19">
        <f t="shared" si="11"/>
        <v>3</v>
      </c>
      <c r="AV19" s="19">
        <f t="shared" si="12"/>
        <v>2</v>
      </c>
      <c r="AW19" s="19">
        <f t="shared" si="4"/>
        <v>1</v>
      </c>
      <c r="AX19" s="19">
        <f t="shared" si="5"/>
        <v>4</v>
      </c>
      <c r="AY19" s="19">
        <f t="shared" si="6"/>
        <v>1</v>
      </c>
      <c r="AZ19" s="19">
        <f t="shared" si="7"/>
        <v>0</v>
      </c>
      <c r="BA19" s="19">
        <f t="shared" si="8"/>
        <v>2</v>
      </c>
      <c r="BB19" s="19">
        <f t="shared" si="9"/>
        <v>2</v>
      </c>
      <c r="BC19" s="15">
        <f t="shared" si="10"/>
        <v>29</v>
      </c>
      <c r="BD19" s="12"/>
      <c r="BE19" s="12"/>
      <c r="BF19" s="12"/>
      <c r="BG19" s="12"/>
      <c r="BH19" s="12"/>
    </row>
    <row r="20" spans="1:60" ht="28.5" customHeight="1">
      <c r="A20" s="185"/>
      <c r="B20" s="13">
        <v>16</v>
      </c>
      <c r="C20" s="13" t="s">
        <v>49</v>
      </c>
      <c r="D20" s="40">
        <v>5</v>
      </c>
      <c r="E20" s="41" t="s">
        <v>15</v>
      </c>
      <c r="F20" s="16" t="s">
        <v>23</v>
      </c>
      <c r="G20" s="16" t="s">
        <v>26</v>
      </c>
      <c r="H20" s="16" t="s">
        <v>17</v>
      </c>
      <c r="I20" s="16" t="s">
        <v>18</v>
      </c>
      <c r="J20" s="17"/>
      <c r="K20" s="42"/>
      <c r="L20" s="41" t="s">
        <v>16</v>
      </c>
      <c r="M20" s="16" t="s">
        <v>16</v>
      </c>
      <c r="N20" s="16" t="s">
        <v>24</v>
      </c>
      <c r="O20" s="16" t="s">
        <v>15</v>
      </c>
      <c r="P20" s="16" t="s">
        <v>27</v>
      </c>
      <c r="Q20" s="81" t="s">
        <v>20</v>
      </c>
      <c r="R20" s="43" t="s">
        <v>19</v>
      </c>
      <c r="S20" s="41" t="s">
        <v>17</v>
      </c>
      <c r="T20" s="16" t="s">
        <v>15</v>
      </c>
      <c r="U20" s="16" t="s">
        <v>20</v>
      </c>
      <c r="V20" s="16" t="s">
        <v>23</v>
      </c>
      <c r="W20" s="16" t="s">
        <v>15</v>
      </c>
      <c r="X20" s="17"/>
      <c r="Y20" s="42"/>
      <c r="Z20" s="51" t="s">
        <v>17</v>
      </c>
      <c r="AA20" s="84" t="s">
        <v>21</v>
      </c>
      <c r="AB20" s="28" t="s">
        <v>22</v>
      </c>
      <c r="AC20" s="28" t="s">
        <v>26</v>
      </c>
      <c r="AD20" s="28" t="s">
        <v>20</v>
      </c>
      <c r="AE20" s="17"/>
      <c r="AF20" s="42"/>
      <c r="AG20" s="51" t="s">
        <v>16</v>
      </c>
      <c r="AH20" s="28" t="s">
        <v>23</v>
      </c>
      <c r="AI20" s="28" t="s">
        <v>23</v>
      </c>
      <c r="AJ20" s="28" t="s">
        <v>27</v>
      </c>
      <c r="AK20" s="28" t="s">
        <v>18</v>
      </c>
      <c r="AL20" s="28" t="s">
        <v>21</v>
      </c>
      <c r="AM20" s="53" t="s">
        <v>15</v>
      </c>
      <c r="AN20" s="44"/>
      <c r="AO20" s="18"/>
      <c r="AP20" s="19">
        <f t="shared" si="0"/>
        <v>5</v>
      </c>
      <c r="AQ20" s="19">
        <f t="shared" si="1"/>
        <v>3</v>
      </c>
      <c r="AR20" s="19">
        <f t="shared" si="2"/>
        <v>3</v>
      </c>
      <c r="AS20" s="19">
        <f t="shared" si="3"/>
        <v>2</v>
      </c>
      <c r="AT20" s="19">
        <f t="shared" si="13"/>
        <v>1</v>
      </c>
      <c r="AU20" s="19">
        <f t="shared" si="11"/>
        <v>3</v>
      </c>
      <c r="AV20" s="19">
        <f t="shared" si="12"/>
        <v>2</v>
      </c>
      <c r="AW20" s="19">
        <f t="shared" si="4"/>
        <v>1</v>
      </c>
      <c r="AX20" s="19">
        <f t="shared" si="5"/>
        <v>4</v>
      </c>
      <c r="AY20" s="19">
        <f t="shared" si="6"/>
        <v>1</v>
      </c>
      <c r="AZ20" s="19">
        <f t="shared" si="7"/>
        <v>0</v>
      </c>
      <c r="BA20" s="19">
        <f t="shared" si="8"/>
        <v>2</v>
      </c>
      <c r="BB20" s="19">
        <f t="shared" si="9"/>
        <v>2</v>
      </c>
      <c r="BC20" s="15">
        <f t="shared" si="10"/>
        <v>29</v>
      </c>
      <c r="BD20" s="12"/>
      <c r="BE20" s="12"/>
      <c r="BF20" s="12"/>
      <c r="BG20" s="12"/>
      <c r="BH20" s="12"/>
    </row>
    <row r="21" spans="1:60" ht="28.5" customHeight="1">
      <c r="A21" s="186"/>
      <c r="B21" s="13">
        <v>17</v>
      </c>
      <c r="C21" s="13" t="s">
        <v>50</v>
      </c>
      <c r="D21" s="40">
        <v>5</v>
      </c>
      <c r="E21" s="41" t="s">
        <v>15</v>
      </c>
      <c r="F21" s="16" t="s">
        <v>23</v>
      </c>
      <c r="G21" s="16" t="s">
        <v>26</v>
      </c>
      <c r="H21" s="16" t="s">
        <v>17</v>
      </c>
      <c r="I21" s="16" t="s">
        <v>18</v>
      </c>
      <c r="J21" s="17"/>
      <c r="K21" s="42"/>
      <c r="L21" s="41" t="s">
        <v>16</v>
      </c>
      <c r="M21" s="16" t="s">
        <v>16</v>
      </c>
      <c r="N21" s="16" t="s">
        <v>24</v>
      </c>
      <c r="O21" s="16" t="s">
        <v>15</v>
      </c>
      <c r="P21" s="16" t="s">
        <v>27</v>
      </c>
      <c r="Q21" s="81" t="s">
        <v>20</v>
      </c>
      <c r="R21" s="43" t="s">
        <v>19</v>
      </c>
      <c r="S21" s="51" t="s">
        <v>17</v>
      </c>
      <c r="T21" s="28" t="s">
        <v>15</v>
      </c>
      <c r="U21" s="28" t="s">
        <v>20</v>
      </c>
      <c r="V21" s="28" t="s">
        <v>23</v>
      </c>
      <c r="W21" s="28" t="s">
        <v>15</v>
      </c>
      <c r="X21" s="17"/>
      <c r="Y21" s="42"/>
      <c r="Z21" s="51" t="s">
        <v>17</v>
      </c>
      <c r="AA21" s="84" t="s">
        <v>21</v>
      </c>
      <c r="AB21" s="28" t="s">
        <v>22</v>
      </c>
      <c r="AC21" s="28" t="s">
        <v>26</v>
      </c>
      <c r="AD21" s="28" t="s">
        <v>20</v>
      </c>
      <c r="AE21" s="17"/>
      <c r="AF21" s="42"/>
      <c r="AG21" s="51" t="s">
        <v>16</v>
      </c>
      <c r="AH21" s="28" t="s">
        <v>23</v>
      </c>
      <c r="AI21" s="28" t="s">
        <v>23</v>
      </c>
      <c r="AJ21" s="28" t="s">
        <v>27</v>
      </c>
      <c r="AK21" s="28" t="s">
        <v>18</v>
      </c>
      <c r="AL21" s="28" t="s">
        <v>21</v>
      </c>
      <c r="AM21" s="53" t="s">
        <v>15</v>
      </c>
      <c r="AN21" s="44"/>
      <c r="AO21" s="18"/>
      <c r="AP21" s="19">
        <f t="shared" si="0"/>
        <v>5</v>
      </c>
      <c r="AQ21" s="19">
        <f t="shared" si="1"/>
        <v>3</v>
      </c>
      <c r="AR21" s="19">
        <f t="shared" si="2"/>
        <v>3</v>
      </c>
      <c r="AS21" s="19">
        <f t="shared" si="3"/>
        <v>2</v>
      </c>
      <c r="AT21" s="19">
        <f t="shared" si="13"/>
        <v>1</v>
      </c>
      <c r="AU21" s="19">
        <f t="shared" si="11"/>
        <v>3</v>
      </c>
      <c r="AV21" s="19">
        <f t="shared" si="12"/>
        <v>2</v>
      </c>
      <c r="AW21" s="19">
        <f t="shared" si="4"/>
        <v>1</v>
      </c>
      <c r="AX21" s="19">
        <f t="shared" si="5"/>
        <v>4</v>
      </c>
      <c r="AY21" s="19">
        <f t="shared" si="6"/>
        <v>1</v>
      </c>
      <c r="AZ21" s="19">
        <f t="shared" si="7"/>
        <v>0</v>
      </c>
      <c r="BA21" s="19">
        <f t="shared" si="8"/>
        <v>2</v>
      </c>
      <c r="BB21" s="19">
        <f t="shared" si="9"/>
        <v>2</v>
      </c>
      <c r="BC21" s="15">
        <f t="shared" si="10"/>
        <v>29</v>
      </c>
      <c r="BD21" s="12"/>
      <c r="BE21" s="12"/>
      <c r="BF21" s="12"/>
      <c r="BG21" s="12"/>
      <c r="BH21" s="12"/>
    </row>
    <row r="22" spans="1:60" ht="28.5" customHeight="1">
      <c r="A22" s="134">
        <v>7</v>
      </c>
      <c r="B22" s="13">
        <v>18</v>
      </c>
      <c r="C22" s="13" t="s">
        <v>51</v>
      </c>
      <c r="D22" s="40">
        <v>5</v>
      </c>
      <c r="E22" s="41" t="s">
        <v>15</v>
      </c>
      <c r="F22" s="16" t="s">
        <v>23</v>
      </c>
      <c r="G22" s="16" t="s">
        <v>26</v>
      </c>
      <c r="H22" s="16" t="s">
        <v>17</v>
      </c>
      <c r="I22" s="16" t="s">
        <v>18</v>
      </c>
      <c r="J22" s="17"/>
      <c r="K22" s="42"/>
      <c r="L22" s="41" t="s">
        <v>16</v>
      </c>
      <c r="M22" s="16" t="s">
        <v>16</v>
      </c>
      <c r="N22" s="89" t="s">
        <v>25</v>
      </c>
      <c r="O22" s="16" t="s">
        <v>15</v>
      </c>
      <c r="P22" s="16" t="s">
        <v>27</v>
      </c>
      <c r="Q22" s="81" t="s">
        <v>21</v>
      </c>
      <c r="R22" s="43" t="s">
        <v>19</v>
      </c>
      <c r="S22" s="41" t="s">
        <v>17</v>
      </c>
      <c r="T22" s="16" t="s">
        <v>15</v>
      </c>
      <c r="U22" s="16" t="s">
        <v>20</v>
      </c>
      <c r="V22" s="16" t="s">
        <v>23</v>
      </c>
      <c r="W22" s="16" t="s">
        <v>15</v>
      </c>
      <c r="X22" s="17"/>
      <c r="Y22" s="42"/>
      <c r="Z22" s="51" t="s">
        <v>17</v>
      </c>
      <c r="AA22" s="84" t="s">
        <v>21</v>
      </c>
      <c r="AB22" s="28" t="s">
        <v>22</v>
      </c>
      <c r="AC22" s="28" t="s">
        <v>26</v>
      </c>
      <c r="AD22" s="28" t="s">
        <v>20</v>
      </c>
      <c r="AE22" s="17"/>
      <c r="AF22" s="42"/>
      <c r="AG22" s="51" t="s">
        <v>16</v>
      </c>
      <c r="AH22" s="28" t="s">
        <v>23</v>
      </c>
      <c r="AI22" s="28" t="s">
        <v>23</v>
      </c>
      <c r="AJ22" s="28" t="s">
        <v>27</v>
      </c>
      <c r="AK22" s="28" t="s">
        <v>18</v>
      </c>
      <c r="AL22" s="28" t="s">
        <v>21</v>
      </c>
      <c r="AM22" s="53" t="s">
        <v>15</v>
      </c>
      <c r="AN22" s="44"/>
      <c r="AO22" s="18"/>
      <c r="AP22" s="19">
        <f t="shared" si="0"/>
        <v>5</v>
      </c>
      <c r="AQ22" s="19">
        <f t="shared" si="1"/>
        <v>3</v>
      </c>
      <c r="AR22" s="19">
        <f t="shared" si="2"/>
        <v>3</v>
      </c>
      <c r="AS22" s="19">
        <f t="shared" si="3"/>
        <v>2</v>
      </c>
      <c r="AT22" s="19">
        <f t="shared" si="13"/>
        <v>1</v>
      </c>
      <c r="AU22" s="19">
        <f t="shared" si="11"/>
        <v>2</v>
      </c>
      <c r="AV22" s="19">
        <f t="shared" si="12"/>
        <v>3</v>
      </c>
      <c r="AW22" s="19">
        <f t="shared" si="4"/>
        <v>1</v>
      </c>
      <c r="AX22" s="19">
        <f t="shared" si="5"/>
        <v>4</v>
      </c>
      <c r="AY22" s="19">
        <f t="shared" si="6"/>
        <v>0</v>
      </c>
      <c r="AZ22" s="19">
        <f t="shared" si="7"/>
        <v>1</v>
      </c>
      <c r="BA22" s="19">
        <f t="shared" si="8"/>
        <v>2</v>
      </c>
      <c r="BB22" s="19">
        <f t="shared" si="9"/>
        <v>2</v>
      </c>
      <c r="BC22" s="15">
        <f t="shared" si="10"/>
        <v>29</v>
      </c>
      <c r="BD22" s="12"/>
      <c r="BE22" s="12"/>
      <c r="BF22" s="12"/>
      <c r="BG22" s="12"/>
      <c r="BH22" s="12"/>
    </row>
    <row r="23" spans="1:60" ht="28.5" customHeight="1">
      <c r="A23" s="185"/>
      <c r="B23" s="13">
        <v>19</v>
      </c>
      <c r="C23" s="20" t="s">
        <v>52</v>
      </c>
      <c r="D23" s="40">
        <v>5</v>
      </c>
      <c r="E23" s="41" t="s">
        <v>15</v>
      </c>
      <c r="F23" s="16" t="s">
        <v>23</v>
      </c>
      <c r="G23" s="16" t="s">
        <v>26</v>
      </c>
      <c r="H23" s="16" t="s">
        <v>17</v>
      </c>
      <c r="I23" s="16" t="s">
        <v>18</v>
      </c>
      <c r="J23" s="17"/>
      <c r="K23" s="42"/>
      <c r="L23" s="41" t="s">
        <v>16</v>
      </c>
      <c r="M23" s="16" t="s">
        <v>16</v>
      </c>
      <c r="N23" s="16" t="s">
        <v>24</v>
      </c>
      <c r="O23" s="16" t="s">
        <v>15</v>
      </c>
      <c r="P23" s="16" t="s">
        <v>27</v>
      </c>
      <c r="Q23" s="16" t="s">
        <v>19</v>
      </c>
      <c r="R23" s="43" t="s">
        <v>19</v>
      </c>
      <c r="S23" s="51" t="s">
        <v>17</v>
      </c>
      <c r="T23" s="28" t="s">
        <v>15</v>
      </c>
      <c r="U23" s="28" t="s">
        <v>20</v>
      </c>
      <c r="V23" s="28" t="s">
        <v>23</v>
      </c>
      <c r="W23" s="28" t="s">
        <v>15</v>
      </c>
      <c r="X23" s="17"/>
      <c r="Y23" s="42"/>
      <c r="Z23" s="51" t="s">
        <v>17</v>
      </c>
      <c r="AA23" s="84" t="s">
        <v>21</v>
      </c>
      <c r="AB23" s="28" t="s">
        <v>22</v>
      </c>
      <c r="AC23" s="28" t="s">
        <v>26</v>
      </c>
      <c r="AD23" s="28" t="s">
        <v>20</v>
      </c>
      <c r="AE23" s="17"/>
      <c r="AF23" s="42"/>
      <c r="AG23" s="51" t="s">
        <v>16</v>
      </c>
      <c r="AH23" s="28" t="s">
        <v>23</v>
      </c>
      <c r="AI23" s="28" t="s">
        <v>23</v>
      </c>
      <c r="AJ23" s="28" t="s">
        <v>27</v>
      </c>
      <c r="AK23" s="28" t="s">
        <v>18</v>
      </c>
      <c r="AL23" s="28" t="s">
        <v>21</v>
      </c>
      <c r="AM23" s="53" t="s">
        <v>15</v>
      </c>
      <c r="AN23" s="44"/>
      <c r="AO23" s="18"/>
      <c r="AP23" s="19">
        <f t="shared" si="0"/>
        <v>5</v>
      </c>
      <c r="AQ23" s="19">
        <f t="shared" si="1"/>
        <v>3</v>
      </c>
      <c r="AR23" s="19">
        <f t="shared" si="2"/>
        <v>3</v>
      </c>
      <c r="AS23" s="19">
        <f t="shared" si="3"/>
        <v>2</v>
      </c>
      <c r="AT23" s="19">
        <f t="shared" si="13"/>
        <v>2</v>
      </c>
      <c r="AU23" s="19">
        <f t="shared" si="11"/>
        <v>2</v>
      </c>
      <c r="AV23" s="19">
        <f t="shared" si="12"/>
        <v>2</v>
      </c>
      <c r="AW23" s="19">
        <f t="shared" si="4"/>
        <v>1</v>
      </c>
      <c r="AX23" s="19">
        <f t="shared" si="5"/>
        <v>4</v>
      </c>
      <c r="AY23" s="19">
        <f t="shared" si="6"/>
        <v>1</v>
      </c>
      <c r="AZ23" s="19">
        <f t="shared" si="7"/>
        <v>0</v>
      </c>
      <c r="BA23" s="19">
        <f t="shared" si="8"/>
        <v>2</v>
      </c>
      <c r="BB23" s="19">
        <f t="shared" si="9"/>
        <v>2</v>
      </c>
      <c r="BC23" s="15">
        <f t="shared" si="10"/>
        <v>29</v>
      </c>
      <c r="BD23" s="12"/>
      <c r="BE23" s="12"/>
      <c r="BF23" s="12"/>
      <c r="BG23" s="12"/>
      <c r="BH23" s="12"/>
    </row>
    <row r="24" spans="1:60" ht="28.5" customHeight="1">
      <c r="A24" s="185"/>
      <c r="B24" s="13">
        <v>20</v>
      </c>
      <c r="C24" s="20" t="s">
        <v>53</v>
      </c>
      <c r="D24" s="40">
        <v>4</v>
      </c>
      <c r="E24" s="41" t="s">
        <v>15</v>
      </c>
      <c r="F24" s="16" t="s">
        <v>23</v>
      </c>
      <c r="G24" s="16" t="s">
        <v>26</v>
      </c>
      <c r="H24" s="16" t="s">
        <v>17</v>
      </c>
      <c r="I24" s="16" t="s">
        <v>18</v>
      </c>
      <c r="J24" s="17"/>
      <c r="K24" s="42"/>
      <c r="L24" s="82" t="s">
        <v>23</v>
      </c>
      <c r="M24" s="81" t="s">
        <v>23</v>
      </c>
      <c r="N24" s="16" t="s">
        <v>24</v>
      </c>
      <c r="O24" s="16" t="s">
        <v>15</v>
      </c>
      <c r="P24" s="16" t="s">
        <v>27</v>
      </c>
      <c r="Q24" s="16" t="s">
        <v>19</v>
      </c>
      <c r="R24" s="43" t="s">
        <v>19</v>
      </c>
      <c r="S24" s="51" t="s">
        <v>17</v>
      </c>
      <c r="T24" s="28" t="s">
        <v>15</v>
      </c>
      <c r="U24" s="28" t="s">
        <v>20</v>
      </c>
      <c r="V24" s="28" t="s">
        <v>23</v>
      </c>
      <c r="W24" s="28" t="s">
        <v>15</v>
      </c>
      <c r="X24" s="17"/>
      <c r="Y24" s="42"/>
      <c r="Z24" s="51" t="s">
        <v>17</v>
      </c>
      <c r="AA24" s="84" t="s">
        <v>21</v>
      </c>
      <c r="AB24" s="28" t="s">
        <v>22</v>
      </c>
      <c r="AC24" s="28" t="s">
        <v>26</v>
      </c>
      <c r="AD24" s="28" t="s">
        <v>20</v>
      </c>
      <c r="AE24" s="17"/>
      <c r="AF24" s="42"/>
      <c r="AG24" s="135" t="s">
        <v>54</v>
      </c>
      <c r="AH24" s="187"/>
      <c r="AI24" s="187"/>
      <c r="AJ24" s="187"/>
      <c r="AK24" s="187"/>
      <c r="AL24" s="187"/>
      <c r="AM24" s="188"/>
      <c r="AN24" s="44"/>
      <c r="AO24" s="18"/>
      <c r="AP24" s="19">
        <f t="shared" si="0"/>
        <v>4</v>
      </c>
      <c r="AQ24" s="19">
        <f t="shared" si="1"/>
        <v>0</v>
      </c>
      <c r="AR24" s="19">
        <f t="shared" si="2"/>
        <v>3</v>
      </c>
      <c r="AS24" s="19">
        <f t="shared" si="3"/>
        <v>1</v>
      </c>
      <c r="AT24" s="19">
        <f t="shared" si="13"/>
        <v>2</v>
      </c>
      <c r="AU24" s="19">
        <f t="shared" si="11"/>
        <v>2</v>
      </c>
      <c r="AV24" s="19">
        <f t="shared" si="12"/>
        <v>1</v>
      </c>
      <c r="AW24" s="19">
        <f t="shared" si="4"/>
        <v>1</v>
      </c>
      <c r="AX24" s="19">
        <f t="shared" si="5"/>
        <v>4</v>
      </c>
      <c r="AY24" s="19">
        <f t="shared" si="6"/>
        <v>1</v>
      </c>
      <c r="AZ24" s="19">
        <f t="shared" si="7"/>
        <v>0</v>
      </c>
      <c r="BA24" s="19">
        <f t="shared" si="8"/>
        <v>2</v>
      </c>
      <c r="BB24" s="19">
        <f t="shared" si="9"/>
        <v>1</v>
      </c>
      <c r="BC24" s="15">
        <f t="shared" si="10"/>
        <v>22</v>
      </c>
      <c r="BD24" s="12"/>
      <c r="BE24" s="12"/>
      <c r="BF24" s="12"/>
      <c r="BG24" s="12"/>
      <c r="BH24" s="12"/>
    </row>
    <row r="25" spans="1:60" ht="28.5" customHeight="1">
      <c r="A25" s="185"/>
      <c r="B25" s="30">
        <v>21</v>
      </c>
      <c r="C25" s="55" t="s">
        <v>55</v>
      </c>
      <c r="D25" s="73">
        <v>5</v>
      </c>
      <c r="E25" s="41" t="s">
        <v>15</v>
      </c>
      <c r="F25" s="16" t="s">
        <v>23</v>
      </c>
      <c r="G25" s="16" t="s">
        <v>26</v>
      </c>
      <c r="H25" s="16" t="s">
        <v>17</v>
      </c>
      <c r="I25" s="16" t="s">
        <v>18</v>
      </c>
      <c r="J25" s="27"/>
      <c r="K25" s="60"/>
      <c r="L25" s="82" t="s">
        <v>23</v>
      </c>
      <c r="M25" s="81" t="s">
        <v>23</v>
      </c>
      <c r="N25" s="16" t="s">
        <v>24</v>
      </c>
      <c r="O25" s="16" t="s">
        <v>15</v>
      </c>
      <c r="P25" s="16" t="s">
        <v>27</v>
      </c>
      <c r="Q25" s="16" t="s">
        <v>19</v>
      </c>
      <c r="R25" s="43" t="s">
        <v>19</v>
      </c>
      <c r="S25" s="51" t="s">
        <v>17</v>
      </c>
      <c r="T25" s="28" t="s">
        <v>15</v>
      </c>
      <c r="U25" s="28" t="s">
        <v>20</v>
      </c>
      <c r="V25" s="28" t="s">
        <v>23</v>
      </c>
      <c r="W25" s="28" t="s">
        <v>15</v>
      </c>
      <c r="X25" s="27"/>
      <c r="Y25" s="60"/>
      <c r="Z25" s="51" t="s">
        <v>17</v>
      </c>
      <c r="AA25" s="84" t="s">
        <v>21</v>
      </c>
      <c r="AB25" s="28" t="s">
        <v>22</v>
      </c>
      <c r="AC25" s="28" t="s">
        <v>26</v>
      </c>
      <c r="AD25" s="28" t="s">
        <v>20</v>
      </c>
      <c r="AE25" s="27"/>
      <c r="AF25" s="60"/>
      <c r="AG25" s="51" t="s">
        <v>16</v>
      </c>
      <c r="AH25" s="28" t="s">
        <v>23</v>
      </c>
      <c r="AI25" s="28" t="s">
        <v>23</v>
      </c>
      <c r="AJ25" s="28" t="s">
        <v>27</v>
      </c>
      <c r="AK25" s="136" t="s">
        <v>56</v>
      </c>
      <c r="AL25" s="137"/>
      <c r="AM25" s="138"/>
      <c r="AN25" s="66"/>
      <c r="AO25" s="18"/>
      <c r="AP25" s="19">
        <f t="shared" si="0"/>
        <v>4</v>
      </c>
      <c r="AQ25" s="19">
        <f t="shared" si="1"/>
        <v>1</v>
      </c>
      <c r="AR25" s="19">
        <f t="shared" si="2"/>
        <v>3</v>
      </c>
      <c r="AS25" s="19">
        <f t="shared" si="3"/>
        <v>1</v>
      </c>
      <c r="AT25" s="19">
        <f t="shared" si="13"/>
        <v>2</v>
      </c>
      <c r="AU25" s="19">
        <f t="shared" si="11"/>
        <v>2</v>
      </c>
      <c r="AV25" s="19">
        <f t="shared" si="12"/>
        <v>1</v>
      </c>
      <c r="AW25" s="19">
        <f t="shared" si="4"/>
        <v>1</v>
      </c>
      <c r="AX25" s="19">
        <f t="shared" si="5"/>
        <v>6</v>
      </c>
      <c r="AY25" s="19">
        <f t="shared" si="6"/>
        <v>1</v>
      </c>
      <c r="AZ25" s="19">
        <f t="shared" si="7"/>
        <v>0</v>
      </c>
      <c r="BA25" s="19">
        <f t="shared" si="8"/>
        <v>2</v>
      </c>
      <c r="BB25" s="19">
        <f t="shared" si="9"/>
        <v>2</v>
      </c>
      <c r="BC25" s="15">
        <f t="shared" si="10"/>
        <v>26</v>
      </c>
      <c r="BD25" s="12"/>
      <c r="BE25" s="12"/>
      <c r="BF25" s="12"/>
      <c r="BG25" s="12"/>
      <c r="BH25" s="12"/>
    </row>
    <row r="26" spans="1:60" ht="31.5" customHeight="1">
      <c r="A26" s="139" t="s">
        <v>57</v>
      </c>
      <c r="B26" s="189"/>
      <c r="C26" s="190"/>
      <c r="D26" s="74">
        <f>SUM(D5:D25)</f>
        <v>98</v>
      </c>
      <c r="E26" s="139">
        <v>18</v>
      </c>
      <c r="F26" s="189"/>
      <c r="G26" s="189"/>
      <c r="H26" s="189"/>
      <c r="I26" s="189"/>
      <c r="J26" s="189"/>
      <c r="K26" s="191"/>
      <c r="L26" s="139">
        <v>20</v>
      </c>
      <c r="M26" s="189"/>
      <c r="N26" s="189"/>
      <c r="O26" s="189"/>
      <c r="P26" s="189"/>
      <c r="Q26" s="189"/>
      <c r="R26" s="191"/>
      <c r="S26" s="139">
        <v>20</v>
      </c>
      <c r="T26" s="189"/>
      <c r="U26" s="189"/>
      <c r="V26" s="189"/>
      <c r="W26" s="189"/>
      <c r="X26" s="189"/>
      <c r="Y26" s="191"/>
      <c r="Z26" s="139">
        <v>21</v>
      </c>
      <c r="AA26" s="189"/>
      <c r="AB26" s="189"/>
      <c r="AC26" s="189"/>
      <c r="AD26" s="189"/>
      <c r="AE26" s="189"/>
      <c r="AF26" s="191"/>
      <c r="AG26" s="139">
        <v>19</v>
      </c>
      <c r="AH26" s="189"/>
      <c r="AI26" s="189"/>
      <c r="AJ26" s="189"/>
      <c r="AK26" s="189"/>
      <c r="AL26" s="189"/>
      <c r="AM26" s="191"/>
      <c r="AN26" s="75">
        <f>SUM(E26:AM26)</f>
        <v>98</v>
      </c>
      <c r="AO26" s="21"/>
      <c r="AP26" s="15">
        <f t="shared" ref="AP26:BB26" si="14">SUM(AP5:AP25)</f>
        <v>86</v>
      </c>
      <c r="AQ26" s="15">
        <f t="shared" si="14"/>
        <v>53</v>
      </c>
      <c r="AR26" s="15">
        <f t="shared" si="14"/>
        <v>53</v>
      </c>
      <c r="AS26" s="15">
        <f t="shared" si="14"/>
        <v>35</v>
      </c>
      <c r="AT26" s="15">
        <f t="shared" si="14"/>
        <v>30</v>
      </c>
      <c r="AU26" s="15">
        <f t="shared" si="14"/>
        <v>48</v>
      </c>
      <c r="AV26" s="15">
        <f t="shared" si="14"/>
        <v>32</v>
      </c>
      <c r="AW26" s="15">
        <f t="shared" si="14"/>
        <v>31</v>
      </c>
      <c r="AX26" s="15">
        <f t="shared" si="14"/>
        <v>80</v>
      </c>
      <c r="AY26" s="15">
        <f t="shared" si="14"/>
        <v>17</v>
      </c>
      <c r="AZ26" s="15">
        <f t="shared" si="14"/>
        <v>4</v>
      </c>
      <c r="BA26" s="15">
        <f t="shared" si="14"/>
        <v>48</v>
      </c>
      <c r="BB26" s="15">
        <f t="shared" si="14"/>
        <v>44</v>
      </c>
      <c r="BC26" s="15">
        <f t="shared" si="10"/>
        <v>561</v>
      </c>
      <c r="BD26" s="12"/>
      <c r="BE26" s="12"/>
      <c r="BF26" s="12"/>
      <c r="BG26" s="12"/>
      <c r="BH26" s="12"/>
    </row>
    <row r="27" spans="1:60" ht="12.75" customHeight="1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22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11"/>
      <c r="BC27" s="12"/>
      <c r="BD27" s="12"/>
      <c r="BE27" s="12"/>
      <c r="BF27" s="12"/>
      <c r="BG27" s="12"/>
    </row>
    <row r="28" spans="1:60" ht="28.5" customHeight="1">
      <c r="A28" s="121" t="s">
        <v>3</v>
      </c>
      <c r="B28" s="122" t="s">
        <v>4</v>
      </c>
      <c r="C28" s="122" t="s">
        <v>5</v>
      </c>
      <c r="D28" s="123" t="s">
        <v>6</v>
      </c>
      <c r="E28" s="124" t="s">
        <v>7</v>
      </c>
      <c r="F28" s="176"/>
      <c r="G28" s="176"/>
      <c r="H28" s="176"/>
      <c r="I28" s="176"/>
      <c r="J28" s="176"/>
      <c r="K28" s="177"/>
      <c r="L28" s="124" t="s">
        <v>8</v>
      </c>
      <c r="M28" s="176"/>
      <c r="N28" s="176"/>
      <c r="O28" s="176"/>
      <c r="P28" s="176"/>
      <c r="Q28" s="176"/>
      <c r="R28" s="177"/>
      <c r="S28" s="124" t="s">
        <v>9</v>
      </c>
      <c r="T28" s="176"/>
      <c r="U28" s="176"/>
      <c r="V28" s="176"/>
      <c r="W28" s="176"/>
      <c r="X28" s="176"/>
      <c r="Y28" s="177"/>
      <c r="Z28" s="124" t="s">
        <v>10</v>
      </c>
      <c r="AA28" s="176"/>
      <c r="AB28" s="176"/>
      <c r="AC28" s="176"/>
      <c r="AD28" s="176"/>
      <c r="AE28" s="176"/>
      <c r="AF28" s="177"/>
      <c r="AG28" s="124" t="s">
        <v>11</v>
      </c>
      <c r="AH28" s="176"/>
      <c r="AI28" s="176"/>
      <c r="AJ28" s="176"/>
      <c r="AK28" s="176"/>
      <c r="AL28" s="176"/>
      <c r="AM28" s="177"/>
      <c r="AN28" s="125" t="s">
        <v>12</v>
      </c>
      <c r="AO28" s="126"/>
      <c r="AP28" s="10"/>
      <c r="AQ28" s="10"/>
      <c r="AR28" s="10"/>
      <c r="AS28" s="10"/>
      <c r="AT28" s="10"/>
      <c r="AU28" s="10"/>
      <c r="AV28" s="10"/>
      <c r="AW28" s="12"/>
      <c r="AX28" s="127" t="s">
        <v>13</v>
      </c>
      <c r="AY28" s="178"/>
      <c r="AZ28" s="178"/>
      <c r="BA28" s="128" t="s">
        <v>14</v>
      </c>
      <c r="BB28" s="178"/>
      <c r="BC28" s="12"/>
      <c r="BD28" s="12"/>
      <c r="BE28" s="12"/>
      <c r="BF28" s="12"/>
      <c r="BG28" s="12"/>
    </row>
    <row r="29" spans="1:60" ht="28.5" customHeight="1">
      <c r="A29" s="179"/>
      <c r="B29" s="180"/>
      <c r="C29" s="180"/>
      <c r="D29" s="181"/>
      <c r="E29" s="46">
        <v>1</v>
      </c>
      <c r="F29" s="47">
        <v>2</v>
      </c>
      <c r="G29" s="47">
        <v>3</v>
      </c>
      <c r="H29" s="47">
        <v>4</v>
      </c>
      <c r="I29" s="47">
        <v>5</v>
      </c>
      <c r="J29" s="47">
        <v>6</v>
      </c>
      <c r="K29" s="48">
        <v>7</v>
      </c>
      <c r="L29" s="46">
        <v>1</v>
      </c>
      <c r="M29" s="47">
        <v>2</v>
      </c>
      <c r="N29" s="47">
        <v>3</v>
      </c>
      <c r="O29" s="47">
        <v>4</v>
      </c>
      <c r="P29" s="47">
        <v>5</v>
      </c>
      <c r="Q29" s="47">
        <v>6</v>
      </c>
      <c r="R29" s="48">
        <v>7</v>
      </c>
      <c r="S29" s="46">
        <v>1</v>
      </c>
      <c r="T29" s="47">
        <v>2</v>
      </c>
      <c r="U29" s="47">
        <v>3</v>
      </c>
      <c r="V29" s="47">
        <v>4</v>
      </c>
      <c r="W29" s="47">
        <v>5</v>
      </c>
      <c r="X29" s="47">
        <v>6</v>
      </c>
      <c r="Y29" s="48">
        <v>7</v>
      </c>
      <c r="Z29" s="46">
        <v>1</v>
      </c>
      <c r="AA29" s="47">
        <v>2</v>
      </c>
      <c r="AB29" s="47">
        <v>3</v>
      </c>
      <c r="AC29" s="47">
        <v>4</v>
      </c>
      <c r="AD29" s="47">
        <v>5</v>
      </c>
      <c r="AE29" s="47">
        <v>6</v>
      </c>
      <c r="AF29" s="48">
        <v>7</v>
      </c>
      <c r="AG29" s="46">
        <v>1</v>
      </c>
      <c r="AH29" s="47">
        <v>2</v>
      </c>
      <c r="AI29" s="47">
        <v>3</v>
      </c>
      <c r="AJ29" s="47">
        <v>4</v>
      </c>
      <c r="AK29" s="47">
        <v>5</v>
      </c>
      <c r="AL29" s="47">
        <v>6</v>
      </c>
      <c r="AM29" s="48">
        <v>7</v>
      </c>
      <c r="AN29" s="182"/>
      <c r="AO29" s="126"/>
      <c r="AP29" s="14" t="s">
        <v>15</v>
      </c>
      <c r="AQ29" s="14" t="s">
        <v>16</v>
      </c>
      <c r="AR29" s="14" t="s">
        <v>17</v>
      </c>
      <c r="AS29" s="14" t="s">
        <v>18</v>
      </c>
      <c r="AT29" s="14" t="s">
        <v>19</v>
      </c>
      <c r="AU29" s="14" t="s">
        <v>20</v>
      </c>
      <c r="AV29" s="34" t="s">
        <v>21</v>
      </c>
      <c r="AW29" s="36" t="s">
        <v>22</v>
      </c>
      <c r="AX29" s="37" t="s">
        <v>23</v>
      </c>
      <c r="AY29" s="35" t="s">
        <v>24</v>
      </c>
      <c r="AZ29" s="35" t="s">
        <v>25</v>
      </c>
      <c r="BA29" s="35" t="s">
        <v>26</v>
      </c>
      <c r="BB29" s="35" t="s">
        <v>27</v>
      </c>
      <c r="BC29" s="15" t="s">
        <v>28</v>
      </c>
      <c r="BD29" s="12"/>
      <c r="BE29" s="12"/>
      <c r="BF29" s="12"/>
      <c r="BG29" s="12"/>
      <c r="BH29" s="12"/>
    </row>
    <row r="30" spans="1:60" ht="28.5" customHeight="1">
      <c r="A30" s="129">
        <v>8</v>
      </c>
      <c r="B30" s="69">
        <v>22</v>
      </c>
      <c r="C30" s="49" t="s">
        <v>58</v>
      </c>
      <c r="D30" s="70">
        <v>4</v>
      </c>
      <c r="E30" s="71"/>
      <c r="F30" s="29"/>
      <c r="G30" s="29"/>
      <c r="H30" s="29"/>
      <c r="I30" s="29"/>
      <c r="J30" s="29"/>
      <c r="K30" s="52"/>
      <c r="L30" s="41" t="s">
        <v>16</v>
      </c>
      <c r="M30" s="16" t="s">
        <v>16</v>
      </c>
      <c r="N30" s="16" t="s">
        <v>24</v>
      </c>
      <c r="O30" s="16" t="s">
        <v>15</v>
      </c>
      <c r="P30" s="131" t="s">
        <v>59</v>
      </c>
      <c r="Q30" s="132"/>
      <c r="R30" s="133"/>
      <c r="S30" s="51" t="s">
        <v>17</v>
      </c>
      <c r="T30" s="28" t="s">
        <v>15</v>
      </c>
      <c r="U30" s="28" t="s">
        <v>20</v>
      </c>
      <c r="V30" s="28" t="s">
        <v>23</v>
      </c>
      <c r="W30" s="84" t="s">
        <v>23</v>
      </c>
      <c r="X30" s="29"/>
      <c r="Y30" s="52"/>
      <c r="Z30" s="85" t="s">
        <v>23</v>
      </c>
      <c r="AA30" s="84" t="s">
        <v>22</v>
      </c>
      <c r="AB30" s="28" t="s">
        <v>22</v>
      </c>
      <c r="AC30" s="28" t="s">
        <v>26</v>
      </c>
      <c r="AD30" s="28" t="s">
        <v>20</v>
      </c>
      <c r="AE30" s="29"/>
      <c r="AF30" s="52"/>
      <c r="AG30" s="85" t="s">
        <v>21</v>
      </c>
      <c r="AH30" s="28" t="s">
        <v>23</v>
      </c>
      <c r="AI30" s="28" t="s">
        <v>23</v>
      </c>
      <c r="AJ30" s="28" t="s">
        <v>27</v>
      </c>
      <c r="AK30" s="28" t="s">
        <v>18</v>
      </c>
      <c r="AL30" s="28" t="s">
        <v>21</v>
      </c>
      <c r="AM30" s="53" t="s">
        <v>15</v>
      </c>
      <c r="AN30" s="72"/>
      <c r="AO30" s="24"/>
      <c r="AP30" s="19">
        <f t="shared" ref="AP30:AP50" si="15">COUNTIF(E30:AM30,"=국")</f>
        <v>3</v>
      </c>
      <c r="AQ30" s="19">
        <f t="shared" ref="AQ30:AQ50" si="16">COUNTIF(E30:AM30,"=수")</f>
        <v>2</v>
      </c>
      <c r="AR30" s="19">
        <f t="shared" ref="AR30:AR50" si="17">COUNTIF(E30:AM30,"=사")</f>
        <v>1</v>
      </c>
      <c r="AS30" s="19">
        <f t="shared" ref="AS30:AS50" si="18">COUNTIF(E30:AM30,"=과")</f>
        <v>1</v>
      </c>
      <c r="AT30" s="19">
        <f>COUNTIF(D30:AL30,"=실")</f>
        <v>0</v>
      </c>
      <c r="AU30" s="19">
        <f t="shared" ref="AU30:AU50" si="19">COUNTIF(E30:AM30,"=체")</f>
        <v>2</v>
      </c>
      <c r="AV30" s="19">
        <f t="shared" ref="AV30:AV50" si="20">COUNTIF(E30:AM30,"=음")</f>
        <v>2</v>
      </c>
      <c r="AW30" s="38">
        <f t="shared" ref="AW30:AW50" si="21">COUNTIF(E30:AM30,"=미")</f>
        <v>2</v>
      </c>
      <c r="AX30" s="19">
        <f t="shared" ref="AX30:AX50" si="22">COUNTIF(E30:AM30,"=자")</f>
        <v>5</v>
      </c>
      <c r="AY30" s="19">
        <f t="shared" ref="AY30:AY50" si="23">COUNTIF(E30:AM30,"=동")</f>
        <v>1</v>
      </c>
      <c r="AZ30" s="19">
        <f t="shared" ref="AZ30:AZ50" si="24">COUNTIF(E30:AM30,"=진")</f>
        <v>0</v>
      </c>
      <c r="BA30" s="19">
        <f t="shared" ref="BA30:BA50" si="25">COUNTIF(E30:AM30,"=의")</f>
        <v>1</v>
      </c>
      <c r="BB30" s="19">
        <f t="shared" ref="BB30:BB50" si="26">COUNTIF(E30:AM30,"=선")</f>
        <v>1</v>
      </c>
      <c r="BC30" s="15">
        <f t="shared" ref="BC30:BC51" si="27">SUM(AP30:BB30)</f>
        <v>21</v>
      </c>
      <c r="BD30" s="12"/>
      <c r="BE30" s="12"/>
      <c r="BF30" s="12"/>
      <c r="BG30" s="12"/>
      <c r="BH30" s="12"/>
    </row>
    <row r="31" spans="1:60" ht="28.5" customHeight="1">
      <c r="A31" s="129"/>
      <c r="B31" s="20">
        <v>23</v>
      </c>
      <c r="C31" s="13" t="s">
        <v>60</v>
      </c>
      <c r="D31" s="56">
        <v>5</v>
      </c>
      <c r="E31" s="82" t="s">
        <v>23</v>
      </c>
      <c r="F31" s="16" t="s">
        <v>23</v>
      </c>
      <c r="G31" s="16" t="s">
        <v>26</v>
      </c>
      <c r="H31" s="81" t="s">
        <v>27</v>
      </c>
      <c r="I31" s="16" t="s">
        <v>18</v>
      </c>
      <c r="J31" s="17"/>
      <c r="K31" s="42"/>
      <c r="L31" s="41" t="s">
        <v>16</v>
      </c>
      <c r="M31" s="16" t="s">
        <v>16</v>
      </c>
      <c r="N31" s="16" t="s">
        <v>24</v>
      </c>
      <c r="O31" s="16" t="s">
        <v>15</v>
      </c>
      <c r="P31" s="16" t="s">
        <v>27</v>
      </c>
      <c r="Q31" s="16" t="s">
        <v>19</v>
      </c>
      <c r="R31" s="43" t="s">
        <v>19</v>
      </c>
      <c r="S31" s="41" t="s">
        <v>17</v>
      </c>
      <c r="T31" s="16" t="s">
        <v>15</v>
      </c>
      <c r="U31" s="16" t="s">
        <v>20</v>
      </c>
      <c r="V31" s="16" t="s">
        <v>23</v>
      </c>
      <c r="W31" s="84" t="s">
        <v>23</v>
      </c>
      <c r="X31" s="17"/>
      <c r="Y31" s="42"/>
      <c r="Z31" s="51" t="s">
        <v>17</v>
      </c>
      <c r="AA31" s="84" t="s">
        <v>22</v>
      </c>
      <c r="AB31" s="28" t="s">
        <v>22</v>
      </c>
      <c r="AC31" s="28" t="s">
        <v>26</v>
      </c>
      <c r="AD31" s="28" t="s">
        <v>20</v>
      </c>
      <c r="AE31" s="17"/>
      <c r="AF31" s="42"/>
      <c r="AG31" s="85" t="s">
        <v>21</v>
      </c>
      <c r="AH31" s="28" t="s">
        <v>23</v>
      </c>
      <c r="AI31" s="28" t="s">
        <v>23</v>
      </c>
      <c r="AJ31" s="28" t="s">
        <v>27</v>
      </c>
      <c r="AK31" s="89" t="s">
        <v>25</v>
      </c>
      <c r="AL31" s="28" t="s">
        <v>21</v>
      </c>
      <c r="AM31" s="53" t="s">
        <v>15</v>
      </c>
      <c r="AN31" s="44"/>
      <c r="AO31" s="24"/>
      <c r="AP31" s="19">
        <f t="shared" si="15"/>
        <v>3</v>
      </c>
      <c r="AQ31" s="19">
        <f t="shared" si="16"/>
        <v>2</v>
      </c>
      <c r="AR31" s="19">
        <f t="shared" si="17"/>
        <v>2</v>
      </c>
      <c r="AS31" s="19">
        <f t="shared" si="18"/>
        <v>1</v>
      </c>
      <c r="AT31" s="19">
        <f t="shared" ref="AT31:AT50" si="28">COUNTIF(D31:AL31,"=실")</f>
        <v>2</v>
      </c>
      <c r="AU31" s="19">
        <f t="shared" si="19"/>
        <v>2</v>
      </c>
      <c r="AV31" s="19">
        <f t="shared" si="20"/>
        <v>2</v>
      </c>
      <c r="AW31" s="19">
        <f t="shared" si="21"/>
        <v>2</v>
      </c>
      <c r="AX31" s="19">
        <f t="shared" si="22"/>
        <v>6</v>
      </c>
      <c r="AY31" s="19">
        <f t="shared" si="23"/>
        <v>1</v>
      </c>
      <c r="AZ31" s="19">
        <f t="shared" si="24"/>
        <v>1</v>
      </c>
      <c r="BA31" s="19">
        <f t="shared" si="25"/>
        <v>2</v>
      </c>
      <c r="BB31" s="19">
        <f t="shared" si="26"/>
        <v>3</v>
      </c>
      <c r="BC31" s="15">
        <f t="shared" si="27"/>
        <v>29</v>
      </c>
      <c r="BD31" s="12"/>
      <c r="BE31" s="12"/>
      <c r="BF31" s="12"/>
      <c r="BG31" s="12"/>
      <c r="BH31" s="12"/>
    </row>
    <row r="32" spans="1:60" ht="28.5" customHeight="1">
      <c r="A32" s="140">
        <v>9</v>
      </c>
      <c r="B32" s="20">
        <v>24</v>
      </c>
      <c r="C32" s="13" t="s">
        <v>61</v>
      </c>
      <c r="D32" s="56">
        <v>5</v>
      </c>
      <c r="E32" s="82" t="s">
        <v>23</v>
      </c>
      <c r="F32" s="16" t="s">
        <v>23</v>
      </c>
      <c r="G32" s="16" t="s">
        <v>26</v>
      </c>
      <c r="H32" s="81" t="s">
        <v>27</v>
      </c>
      <c r="I32" s="16" t="s">
        <v>18</v>
      </c>
      <c r="J32" s="17"/>
      <c r="K32" s="42"/>
      <c r="L32" s="41" t="s">
        <v>16</v>
      </c>
      <c r="M32" s="16" t="s">
        <v>16</v>
      </c>
      <c r="N32" s="16" t="s">
        <v>24</v>
      </c>
      <c r="O32" s="16" t="s">
        <v>15</v>
      </c>
      <c r="P32" s="16" t="s">
        <v>27</v>
      </c>
      <c r="Q32" s="16" t="s">
        <v>19</v>
      </c>
      <c r="R32" s="43" t="s">
        <v>19</v>
      </c>
      <c r="S32" s="51" t="s">
        <v>17</v>
      </c>
      <c r="T32" s="28" t="s">
        <v>15</v>
      </c>
      <c r="U32" s="28" t="s">
        <v>20</v>
      </c>
      <c r="V32" s="28" t="s">
        <v>23</v>
      </c>
      <c r="W32" s="84" t="s">
        <v>23</v>
      </c>
      <c r="X32" s="17"/>
      <c r="Y32" s="42"/>
      <c r="Z32" s="51" t="s">
        <v>17</v>
      </c>
      <c r="AA32" s="84" t="s">
        <v>22</v>
      </c>
      <c r="AB32" s="28" t="s">
        <v>22</v>
      </c>
      <c r="AC32" s="28" t="s">
        <v>26</v>
      </c>
      <c r="AD32" s="28" t="s">
        <v>20</v>
      </c>
      <c r="AE32" s="17"/>
      <c r="AF32" s="42"/>
      <c r="AG32" s="51" t="s">
        <v>16</v>
      </c>
      <c r="AH32" s="28" t="s">
        <v>23</v>
      </c>
      <c r="AI32" s="28" t="s">
        <v>23</v>
      </c>
      <c r="AJ32" s="28" t="s">
        <v>27</v>
      </c>
      <c r="AK32" s="28" t="s">
        <v>18</v>
      </c>
      <c r="AL32" s="28" t="s">
        <v>21</v>
      </c>
      <c r="AM32" s="53" t="s">
        <v>15</v>
      </c>
      <c r="AN32" s="44"/>
      <c r="AO32" s="24"/>
      <c r="AP32" s="19">
        <f t="shared" si="15"/>
        <v>3</v>
      </c>
      <c r="AQ32" s="19">
        <f t="shared" si="16"/>
        <v>3</v>
      </c>
      <c r="AR32" s="19">
        <f t="shared" si="17"/>
        <v>2</v>
      </c>
      <c r="AS32" s="19">
        <f t="shared" si="18"/>
        <v>2</v>
      </c>
      <c r="AT32" s="19">
        <f t="shared" si="28"/>
        <v>2</v>
      </c>
      <c r="AU32" s="19">
        <f t="shared" si="19"/>
        <v>2</v>
      </c>
      <c r="AV32" s="19">
        <f t="shared" si="20"/>
        <v>1</v>
      </c>
      <c r="AW32" s="19">
        <f t="shared" si="21"/>
        <v>2</v>
      </c>
      <c r="AX32" s="19">
        <f t="shared" si="22"/>
        <v>6</v>
      </c>
      <c r="AY32" s="19">
        <f t="shared" si="23"/>
        <v>1</v>
      </c>
      <c r="AZ32" s="19">
        <f t="shared" si="24"/>
        <v>0</v>
      </c>
      <c r="BA32" s="19">
        <f t="shared" si="25"/>
        <v>2</v>
      </c>
      <c r="BB32" s="19">
        <f t="shared" si="26"/>
        <v>3</v>
      </c>
      <c r="BC32" s="15">
        <f t="shared" si="27"/>
        <v>29</v>
      </c>
      <c r="BD32" s="12"/>
      <c r="BE32" s="12"/>
      <c r="BF32" s="12"/>
      <c r="BG32" s="12"/>
      <c r="BH32" s="12"/>
    </row>
    <row r="33" spans="1:60" ht="28.5" customHeight="1">
      <c r="A33" s="129"/>
      <c r="B33" s="20">
        <v>25</v>
      </c>
      <c r="C33" s="13" t="s">
        <v>62</v>
      </c>
      <c r="D33" s="56">
        <v>5</v>
      </c>
      <c r="E33" s="82" t="s">
        <v>23</v>
      </c>
      <c r="F33" s="16" t="s">
        <v>23</v>
      </c>
      <c r="G33" s="16" t="s">
        <v>26</v>
      </c>
      <c r="H33" s="81" t="s">
        <v>27</v>
      </c>
      <c r="I33" s="16" t="s">
        <v>18</v>
      </c>
      <c r="J33" s="17"/>
      <c r="K33" s="42"/>
      <c r="L33" s="41" t="s">
        <v>16</v>
      </c>
      <c r="M33" s="16" t="s">
        <v>16</v>
      </c>
      <c r="N33" s="16" t="s">
        <v>24</v>
      </c>
      <c r="O33" s="16" t="s">
        <v>15</v>
      </c>
      <c r="P33" s="16" t="s">
        <v>27</v>
      </c>
      <c r="Q33" s="16" t="s">
        <v>19</v>
      </c>
      <c r="R33" s="43" t="s">
        <v>19</v>
      </c>
      <c r="S33" s="41" t="s">
        <v>17</v>
      </c>
      <c r="T33" s="16" t="s">
        <v>15</v>
      </c>
      <c r="U33" s="16" t="s">
        <v>20</v>
      </c>
      <c r="V33" s="16" t="s">
        <v>23</v>
      </c>
      <c r="W33" s="81" t="s">
        <v>23</v>
      </c>
      <c r="X33" s="17"/>
      <c r="Y33" s="42"/>
      <c r="Z33" s="51" t="s">
        <v>17</v>
      </c>
      <c r="AA33" s="84" t="s">
        <v>22</v>
      </c>
      <c r="AB33" s="28" t="s">
        <v>22</v>
      </c>
      <c r="AC33" s="28" t="s">
        <v>26</v>
      </c>
      <c r="AD33" s="28" t="s">
        <v>20</v>
      </c>
      <c r="AE33" s="17"/>
      <c r="AF33" s="42"/>
      <c r="AG33" s="51" t="s">
        <v>16</v>
      </c>
      <c r="AH33" s="28" t="s">
        <v>23</v>
      </c>
      <c r="AI33" s="28" t="s">
        <v>23</v>
      </c>
      <c r="AJ33" s="28" t="s">
        <v>27</v>
      </c>
      <c r="AK33" s="28" t="s">
        <v>18</v>
      </c>
      <c r="AL33" s="28" t="s">
        <v>21</v>
      </c>
      <c r="AM33" s="53" t="s">
        <v>15</v>
      </c>
      <c r="AN33" s="44"/>
      <c r="AO33" s="24"/>
      <c r="AP33" s="19">
        <f t="shared" si="15"/>
        <v>3</v>
      </c>
      <c r="AQ33" s="19">
        <f t="shared" si="16"/>
        <v>3</v>
      </c>
      <c r="AR33" s="19">
        <f t="shared" si="17"/>
        <v>2</v>
      </c>
      <c r="AS33" s="19">
        <f t="shared" si="18"/>
        <v>2</v>
      </c>
      <c r="AT33" s="19">
        <f t="shared" si="28"/>
        <v>2</v>
      </c>
      <c r="AU33" s="19">
        <f t="shared" si="19"/>
        <v>2</v>
      </c>
      <c r="AV33" s="19">
        <f t="shared" si="20"/>
        <v>1</v>
      </c>
      <c r="AW33" s="19">
        <f t="shared" si="21"/>
        <v>2</v>
      </c>
      <c r="AX33" s="19">
        <f t="shared" si="22"/>
        <v>6</v>
      </c>
      <c r="AY33" s="19">
        <f t="shared" si="23"/>
        <v>1</v>
      </c>
      <c r="AZ33" s="19">
        <f t="shared" si="24"/>
        <v>0</v>
      </c>
      <c r="BA33" s="19">
        <f t="shared" si="25"/>
        <v>2</v>
      </c>
      <c r="BB33" s="19">
        <f t="shared" si="26"/>
        <v>3</v>
      </c>
      <c r="BC33" s="15">
        <f t="shared" si="27"/>
        <v>29</v>
      </c>
      <c r="BD33" s="12"/>
      <c r="BE33" s="12"/>
      <c r="BF33" s="12"/>
      <c r="BG33" s="12"/>
      <c r="BH33" s="12"/>
    </row>
    <row r="34" spans="1:60" ht="28.5" customHeight="1">
      <c r="A34" s="129"/>
      <c r="B34" s="20">
        <v>26</v>
      </c>
      <c r="C34" s="13" t="s">
        <v>63</v>
      </c>
      <c r="D34" s="56">
        <v>5</v>
      </c>
      <c r="E34" s="41" t="s">
        <v>15</v>
      </c>
      <c r="F34" s="16" t="s">
        <v>23</v>
      </c>
      <c r="G34" s="16" t="s">
        <v>26</v>
      </c>
      <c r="H34" s="81" t="s">
        <v>27</v>
      </c>
      <c r="I34" s="16" t="s">
        <v>18</v>
      </c>
      <c r="J34" s="17"/>
      <c r="K34" s="42"/>
      <c r="L34" s="41" t="s">
        <v>16</v>
      </c>
      <c r="M34" s="16" t="s">
        <v>16</v>
      </c>
      <c r="N34" s="16" t="s">
        <v>24</v>
      </c>
      <c r="O34" s="16" t="s">
        <v>15</v>
      </c>
      <c r="P34" s="16" t="s">
        <v>27</v>
      </c>
      <c r="Q34" s="16" t="s">
        <v>19</v>
      </c>
      <c r="R34" s="43" t="s">
        <v>19</v>
      </c>
      <c r="S34" s="51" t="s">
        <v>17</v>
      </c>
      <c r="T34" s="28" t="s">
        <v>15</v>
      </c>
      <c r="U34" s="28" t="s">
        <v>20</v>
      </c>
      <c r="V34" s="28" t="s">
        <v>23</v>
      </c>
      <c r="W34" s="84" t="s">
        <v>23</v>
      </c>
      <c r="X34" s="17"/>
      <c r="Y34" s="42"/>
      <c r="Z34" s="51" t="s">
        <v>17</v>
      </c>
      <c r="AA34" s="84" t="s">
        <v>22</v>
      </c>
      <c r="AB34" s="28" t="s">
        <v>22</v>
      </c>
      <c r="AC34" s="28" t="s">
        <v>26</v>
      </c>
      <c r="AD34" s="28" t="s">
        <v>20</v>
      </c>
      <c r="AE34" s="17"/>
      <c r="AF34" s="42"/>
      <c r="AG34" s="51" t="s">
        <v>16</v>
      </c>
      <c r="AH34" s="28" t="s">
        <v>23</v>
      </c>
      <c r="AI34" s="28" t="s">
        <v>23</v>
      </c>
      <c r="AJ34" s="28" t="s">
        <v>27</v>
      </c>
      <c r="AK34" s="28" t="s">
        <v>18</v>
      </c>
      <c r="AL34" s="28" t="s">
        <v>21</v>
      </c>
      <c r="AM34" s="53" t="s">
        <v>15</v>
      </c>
      <c r="AN34" s="44"/>
      <c r="AO34" s="24"/>
      <c r="AP34" s="19">
        <f t="shared" si="15"/>
        <v>4</v>
      </c>
      <c r="AQ34" s="19">
        <f t="shared" si="16"/>
        <v>3</v>
      </c>
      <c r="AR34" s="19">
        <f t="shared" si="17"/>
        <v>2</v>
      </c>
      <c r="AS34" s="19">
        <f t="shared" si="18"/>
        <v>2</v>
      </c>
      <c r="AT34" s="19">
        <f t="shared" si="28"/>
        <v>2</v>
      </c>
      <c r="AU34" s="19">
        <f t="shared" si="19"/>
        <v>2</v>
      </c>
      <c r="AV34" s="19">
        <f t="shared" si="20"/>
        <v>1</v>
      </c>
      <c r="AW34" s="19">
        <f t="shared" si="21"/>
        <v>2</v>
      </c>
      <c r="AX34" s="19">
        <f t="shared" si="22"/>
        <v>5</v>
      </c>
      <c r="AY34" s="19">
        <f t="shared" si="23"/>
        <v>1</v>
      </c>
      <c r="AZ34" s="19">
        <f t="shared" si="24"/>
        <v>0</v>
      </c>
      <c r="BA34" s="19">
        <f t="shared" si="25"/>
        <v>2</v>
      </c>
      <c r="BB34" s="19">
        <f t="shared" si="26"/>
        <v>3</v>
      </c>
      <c r="BC34" s="15">
        <f t="shared" si="27"/>
        <v>29</v>
      </c>
      <c r="BD34" s="12"/>
      <c r="BE34" s="12"/>
      <c r="BF34" s="12"/>
      <c r="BG34" s="12"/>
      <c r="BH34" s="12"/>
    </row>
    <row r="35" spans="1:60" ht="28.5" customHeight="1">
      <c r="A35" s="129"/>
      <c r="B35" s="20">
        <v>27</v>
      </c>
      <c r="C35" s="13" t="s">
        <v>64</v>
      </c>
      <c r="D35" s="56">
        <v>2</v>
      </c>
      <c r="E35" s="41" t="s">
        <v>15</v>
      </c>
      <c r="F35" s="16" t="s">
        <v>23</v>
      </c>
      <c r="G35" s="16" t="s">
        <v>26</v>
      </c>
      <c r="H35" s="81" t="s">
        <v>27</v>
      </c>
      <c r="I35" s="16" t="s">
        <v>18</v>
      </c>
      <c r="J35" s="17"/>
      <c r="K35" s="42"/>
      <c r="L35" s="41" t="s">
        <v>16</v>
      </c>
      <c r="M35" s="16" t="s">
        <v>16</v>
      </c>
      <c r="N35" s="16" t="s">
        <v>24</v>
      </c>
      <c r="O35" s="16" t="s">
        <v>15</v>
      </c>
      <c r="P35" s="16" t="s">
        <v>27</v>
      </c>
      <c r="Q35" s="16" t="s">
        <v>19</v>
      </c>
      <c r="R35" s="43" t="s">
        <v>19</v>
      </c>
      <c r="S35" s="135" t="s">
        <v>65</v>
      </c>
      <c r="T35" s="187"/>
      <c r="U35" s="187"/>
      <c r="V35" s="187"/>
      <c r="W35" s="187"/>
      <c r="X35" s="187"/>
      <c r="Y35" s="188"/>
      <c r="Z35" s="135" t="s">
        <v>66</v>
      </c>
      <c r="AA35" s="187"/>
      <c r="AB35" s="187"/>
      <c r="AC35" s="187"/>
      <c r="AD35" s="187"/>
      <c r="AE35" s="187"/>
      <c r="AF35" s="188"/>
      <c r="AG35" s="135" t="s">
        <v>67</v>
      </c>
      <c r="AH35" s="187"/>
      <c r="AI35" s="187"/>
      <c r="AJ35" s="187"/>
      <c r="AK35" s="187"/>
      <c r="AL35" s="187"/>
      <c r="AM35" s="188"/>
      <c r="AN35" s="44"/>
      <c r="AO35" s="24"/>
      <c r="AP35" s="19">
        <f t="shared" si="15"/>
        <v>2</v>
      </c>
      <c r="AQ35" s="19">
        <f t="shared" si="16"/>
        <v>2</v>
      </c>
      <c r="AR35" s="19">
        <f t="shared" si="17"/>
        <v>0</v>
      </c>
      <c r="AS35" s="19">
        <f t="shared" si="18"/>
        <v>1</v>
      </c>
      <c r="AT35" s="19">
        <f t="shared" si="28"/>
        <v>2</v>
      </c>
      <c r="AU35" s="19">
        <f t="shared" si="19"/>
        <v>0</v>
      </c>
      <c r="AV35" s="19">
        <f t="shared" si="20"/>
        <v>0</v>
      </c>
      <c r="AW35" s="19">
        <f t="shared" si="21"/>
        <v>0</v>
      </c>
      <c r="AX35" s="19">
        <f t="shared" si="22"/>
        <v>1</v>
      </c>
      <c r="AY35" s="19">
        <f t="shared" si="23"/>
        <v>1</v>
      </c>
      <c r="AZ35" s="19">
        <f t="shared" si="24"/>
        <v>0</v>
      </c>
      <c r="BA35" s="19">
        <f t="shared" si="25"/>
        <v>1</v>
      </c>
      <c r="BB35" s="19">
        <f t="shared" si="26"/>
        <v>2</v>
      </c>
      <c r="BC35" s="15">
        <f t="shared" si="27"/>
        <v>12</v>
      </c>
      <c r="BD35" s="12"/>
      <c r="BE35" s="12"/>
      <c r="BF35" s="12"/>
      <c r="BG35" s="12"/>
      <c r="BH35" s="12"/>
    </row>
    <row r="36" spans="1:60" ht="28.5" customHeight="1">
      <c r="A36" s="140">
        <v>10</v>
      </c>
      <c r="B36" s="20">
        <v>28</v>
      </c>
      <c r="C36" s="13" t="s">
        <v>68</v>
      </c>
      <c r="D36" s="56">
        <v>5</v>
      </c>
      <c r="E36" s="41" t="s">
        <v>15</v>
      </c>
      <c r="F36" s="16" t="s">
        <v>23</v>
      </c>
      <c r="G36" s="16" t="s">
        <v>26</v>
      </c>
      <c r="H36" s="81" t="s">
        <v>27</v>
      </c>
      <c r="I36" s="16" t="s">
        <v>18</v>
      </c>
      <c r="J36" s="17"/>
      <c r="K36" s="42"/>
      <c r="L36" s="41" t="s">
        <v>16</v>
      </c>
      <c r="M36" s="16" t="s">
        <v>16</v>
      </c>
      <c r="N36" s="89" t="s">
        <v>25</v>
      </c>
      <c r="O36" s="16" t="s">
        <v>15</v>
      </c>
      <c r="P36" s="16" t="s">
        <v>27</v>
      </c>
      <c r="Q36" s="16" t="s">
        <v>19</v>
      </c>
      <c r="R36" s="43" t="s">
        <v>19</v>
      </c>
      <c r="S36" s="51" t="s">
        <v>17</v>
      </c>
      <c r="T36" s="28" t="s">
        <v>15</v>
      </c>
      <c r="U36" s="28" t="s">
        <v>20</v>
      </c>
      <c r="V36" s="28" t="s">
        <v>23</v>
      </c>
      <c r="W36" s="28" t="s">
        <v>15</v>
      </c>
      <c r="X36" s="17"/>
      <c r="Y36" s="42"/>
      <c r="Z36" s="51" t="s">
        <v>17</v>
      </c>
      <c r="AA36" s="84" t="s">
        <v>22</v>
      </c>
      <c r="AB36" s="28" t="s">
        <v>22</v>
      </c>
      <c r="AC36" s="28" t="s">
        <v>26</v>
      </c>
      <c r="AD36" s="28" t="s">
        <v>20</v>
      </c>
      <c r="AE36" s="17"/>
      <c r="AF36" s="42"/>
      <c r="AG36" s="51" t="s">
        <v>16</v>
      </c>
      <c r="AH36" s="28" t="s">
        <v>23</v>
      </c>
      <c r="AI36" s="28" t="s">
        <v>23</v>
      </c>
      <c r="AJ36" s="28" t="s">
        <v>27</v>
      </c>
      <c r="AK36" s="28" t="s">
        <v>18</v>
      </c>
      <c r="AL36" s="28" t="s">
        <v>21</v>
      </c>
      <c r="AM36" s="53" t="s">
        <v>15</v>
      </c>
      <c r="AN36" s="45"/>
      <c r="AO36" s="24"/>
      <c r="AP36" s="19">
        <f t="shared" si="15"/>
        <v>5</v>
      </c>
      <c r="AQ36" s="19">
        <f t="shared" si="16"/>
        <v>3</v>
      </c>
      <c r="AR36" s="19">
        <f t="shared" si="17"/>
        <v>2</v>
      </c>
      <c r="AS36" s="19">
        <f t="shared" si="18"/>
        <v>2</v>
      </c>
      <c r="AT36" s="19">
        <f t="shared" si="28"/>
        <v>2</v>
      </c>
      <c r="AU36" s="19">
        <f t="shared" si="19"/>
        <v>2</v>
      </c>
      <c r="AV36" s="19">
        <f t="shared" si="20"/>
        <v>1</v>
      </c>
      <c r="AW36" s="19">
        <f t="shared" si="21"/>
        <v>2</v>
      </c>
      <c r="AX36" s="19">
        <f t="shared" si="22"/>
        <v>4</v>
      </c>
      <c r="AY36" s="19">
        <f t="shared" si="23"/>
        <v>0</v>
      </c>
      <c r="AZ36" s="19">
        <f t="shared" si="24"/>
        <v>1</v>
      </c>
      <c r="BA36" s="19">
        <f t="shared" si="25"/>
        <v>2</v>
      </c>
      <c r="BB36" s="19">
        <f t="shared" si="26"/>
        <v>3</v>
      </c>
      <c r="BC36" s="15">
        <f t="shared" si="27"/>
        <v>29</v>
      </c>
      <c r="BD36" s="12"/>
      <c r="BE36" s="12"/>
      <c r="BF36" s="12"/>
      <c r="BG36" s="12"/>
      <c r="BH36" s="12"/>
    </row>
    <row r="37" spans="1:60" ht="28.5" customHeight="1">
      <c r="A37" s="129"/>
      <c r="B37" s="20">
        <v>29</v>
      </c>
      <c r="C37" s="13" t="s">
        <v>69</v>
      </c>
      <c r="D37" s="56">
        <v>3</v>
      </c>
      <c r="E37" s="135" t="s">
        <v>30</v>
      </c>
      <c r="F37" s="187"/>
      <c r="G37" s="187"/>
      <c r="H37" s="187"/>
      <c r="I37" s="187"/>
      <c r="J37" s="187"/>
      <c r="K37" s="188"/>
      <c r="L37" s="41" t="s">
        <v>16</v>
      </c>
      <c r="M37" s="16" t="s">
        <v>16</v>
      </c>
      <c r="N37" s="16" t="s">
        <v>24</v>
      </c>
      <c r="O37" s="16" t="s">
        <v>15</v>
      </c>
      <c r="P37" s="16" t="s">
        <v>27</v>
      </c>
      <c r="Q37" s="16" t="s">
        <v>19</v>
      </c>
      <c r="R37" s="43" t="s">
        <v>19</v>
      </c>
      <c r="S37" s="41" t="s">
        <v>17</v>
      </c>
      <c r="T37" s="16" t="s">
        <v>15</v>
      </c>
      <c r="U37" s="16" t="s">
        <v>20</v>
      </c>
      <c r="V37" s="16" t="s">
        <v>23</v>
      </c>
      <c r="W37" s="16" t="s">
        <v>15</v>
      </c>
      <c r="X37" s="17"/>
      <c r="Y37" s="42"/>
      <c r="Z37" s="51" t="s">
        <v>17</v>
      </c>
      <c r="AA37" s="84" t="s">
        <v>22</v>
      </c>
      <c r="AB37" s="28" t="s">
        <v>22</v>
      </c>
      <c r="AC37" s="28" t="s">
        <v>26</v>
      </c>
      <c r="AD37" s="28" t="s">
        <v>20</v>
      </c>
      <c r="AE37" s="17"/>
      <c r="AF37" s="42"/>
      <c r="AG37" s="142" t="s">
        <v>70</v>
      </c>
      <c r="AH37" s="192"/>
      <c r="AI37" s="192"/>
      <c r="AJ37" s="192"/>
      <c r="AK37" s="192"/>
      <c r="AL37" s="192"/>
      <c r="AM37" s="193"/>
      <c r="AN37" s="45"/>
      <c r="AO37" s="24"/>
      <c r="AP37" s="19">
        <f t="shared" si="15"/>
        <v>3</v>
      </c>
      <c r="AQ37" s="19">
        <f t="shared" si="16"/>
        <v>2</v>
      </c>
      <c r="AR37" s="19">
        <f t="shared" si="17"/>
        <v>2</v>
      </c>
      <c r="AS37" s="19">
        <f t="shared" si="18"/>
        <v>0</v>
      </c>
      <c r="AT37" s="19">
        <f t="shared" si="28"/>
        <v>2</v>
      </c>
      <c r="AU37" s="19">
        <f t="shared" si="19"/>
        <v>2</v>
      </c>
      <c r="AV37" s="19">
        <f t="shared" si="20"/>
        <v>0</v>
      </c>
      <c r="AW37" s="19">
        <f t="shared" si="21"/>
        <v>2</v>
      </c>
      <c r="AX37" s="19">
        <f t="shared" si="22"/>
        <v>1</v>
      </c>
      <c r="AY37" s="19">
        <f t="shared" si="23"/>
        <v>1</v>
      </c>
      <c r="AZ37" s="19">
        <f t="shared" si="24"/>
        <v>0</v>
      </c>
      <c r="BA37" s="19">
        <f t="shared" si="25"/>
        <v>1</v>
      </c>
      <c r="BB37" s="19">
        <f t="shared" si="26"/>
        <v>1</v>
      </c>
      <c r="BC37" s="15">
        <f t="shared" si="27"/>
        <v>17</v>
      </c>
      <c r="BD37" s="12"/>
      <c r="BE37" s="12"/>
      <c r="BF37" s="12"/>
      <c r="BG37" s="12"/>
      <c r="BH37" s="12"/>
    </row>
    <row r="38" spans="1:60" ht="28.5" customHeight="1">
      <c r="A38" s="129"/>
      <c r="B38" s="20">
        <v>30</v>
      </c>
      <c r="C38" s="13" t="s">
        <v>71</v>
      </c>
      <c r="D38" s="56">
        <v>5</v>
      </c>
      <c r="E38" s="41" t="s">
        <v>15</v>
      </c>
      <c r="F38" s="16" t="s">
        <v>23</v>
      </c>
      <c r="G38" s="16" t="s">
        <v>26</v>
      </c>
      <c r="H38" s="16" t="s">
        <v>17</v>
      </c>
      <c r="I38" s="16" t="s">
        <v>18</v>
      </c>
      <c r="J38" s="17"/>
      <c r="K38" s="42"/>
      <c r="L38" s="41" t="s">
        <v>16</v>
      </c>
      <c r="M38" s="16" t="s">
        <v>16</v>
      </c>
      <c r="N38" s="16" t="s">
        <v>24</v>
      </c>
      <c r="O38" s="16" t="s">
        <v>15</v>
      </c>
      <c r="P38" s="16" t="s">
        <v>27</v>
      </c>
      <c r="Q38" s="16" t="s">
        <v>19</v>
      </c>
      <c r="R38" s="43" t="s">
        <v>19</v>
      </c>
      <c r="S38" s="51" t="s">
        <v>17</v>
      </c>
      <c r="T38" s="28" t="s">
        <v>15</v>
      </c>
      <c r="U38" s="28" t="s">
        <v>20</v>
      </c>
      <c r="V38" s="28" t="s">
        <v>23</v>
      </c>
      <c r="W38" s="28" t="s">
        <v>15</v>
      </c>
      <c r="X38" s="17"/>
      <c r="Y38" s="42"/>
      <c r="Z38" s="51" t="s">
        <v>17</v>
      </c>
      <c r="AA38" s="84" t="s">
        <v>22</v>
      </c>
      <c r="AB38" s="28" t="s">
        <v>22</v>
      </c>
      <c r="AC38" s="28" t="s">
        <v>26</v>
      </c>
      <c r="AD38" s="28" t="s">
        <v>20</v>
      </c>
      <c r="AE38" s="17"/>
      <c r="AF38" s="42"/>
      <c r="AG38" s="51" t="s">
        <v>16</v>
      </c>
      <c r="AH38" s="28" t="s">
        <v>23</v>
      </c>
      <c r="AI38" s="28" t="s">
        <v>23</v>
      </c>
      <c r="AJ38" s="28" t="s">
        <v>27</v>
      </c>
      <c r="AK38" s="28" t="s">
        <v>18</v>
      </c>
      <c r="AL38" s="28" t="s">
        <v>21</v>
      </c>
      <c r="AM38" s="53" t="s">
        <v>15</v>
      </c>
      <c r="AN38" s="45"/>
      <c r="AO38" s="24"/>
      <c r="AP38" s="19">
        <f t="shared" si="15"/>
        <v>5</v>
      </c>
      <c r="AQ38" s="19">
        <f t="shared" si="16"/>
        <v>3</v>
      </c>
      <c r="AR38" s="19">
        <f t="shared" si="17"/>
        <v>3</v>
      </c>
      <c r="AS38" s="19">
        <f t="shared" si="18"/>
        <v>2</v>
      </c>
      <c r="AT38" s="19">
        <f t="shared" si="28"/>
        <v>2</v>
      </c>
      <c r="AU38" s="19">
        <f t="shared" si="19"/>
        <v>2</v>
      </c>
      <c r="AV38" s="19">
        <f t="shared" si="20"/>
        <v>1</v>
      </c>
      <c r="AW38" s="19">
        <f t="shared" si="21"/>
        <v>2</v>
      </c>
      <c r="AX38" s="19">
        <f t="shared" si="22"/>
        <v>4</v>
      </c>
      <c r="AY38" s="19">
        <f t="shared" si="23"/>
        <v>1</v>
      </c>
      <c r="AZ38" s="19">
        <f t="shared" si="24"/>
        <v>0</v>
      </c>
      <c r="BA38" s="19">
        <f t="shared" si="25"/>
        <v>2</v>
      </c>
      <c r="BB38" s="19">
        <f t="shared" si="26"/>
        <v>2</v>
      </c>
      <c r="BC38" s="15">
        <f t="shared" si="27"/>
        <v>29</v>
      </c>
      <c r="BD38" s="12"/>
      <c r="BE38" s="12"/>
      <c r="BF38" s="12"/>
      <c r="BG38" s="12"/>
      <c r="BH38" s="12"/>
    </row>
    <row r="39" spans="1:60" ht="28.5" customHeight="1">
      <c r="A39" s="129"/>
      <c r="B39" s="20">
        <v>31</v>
      </c>
      <c r="C39" s="13" t="s">
        <v>72</v>
      </c>
      <c r="D39" s="56">
        <v>5</v>
      </c>
      <c r="E39" s="41" t="s">
        <v>15</v>
      </c>
      <c r="F39" s="16" t="s">
        <v>23</v>
      </c>
      <c r="G39" s="16" t="s">
        <v>26</v>
      </c>
      <c r="H39" s="16" t="s">
        <v>17</v>
      </c>
      <c r="I39" s="16" t="s">
        <v>18</v>
      </c>
      <c r="J39" s="17"/>
      <c r="K39" s="42"/>
      <c r="L39" s="41" t="s">
        <v>16</v>
      </c>
      <c r="M39" s="16" t="s">
        <v>16</v>
      </c>
      <c r="N39" s="16" t="s">
        <v>24</v>
      </c>
      <c r="O39" s="16" t="s">
        <v>15</v>
      </c>
      <c r="P39" s="16" t="s">
        <v>27</v>
      </c>
      <c r="Q39" s="16" t="s">
        <v>19</v>
      </c>
      <c r="R39" s="43" t="s">
        <v>19</v>
      </c>
      <c r="S39" s="41" t="s">
        <v>17</v>
      </c>
      <c r="T39" s="16" t="s">
        <v>15</v>
      </c>
      <c r="U39" s="16" t="s">
        <v>20</v>
      </c>
      <c r="V39" s="16" t="s">
        <v>23</v>
      </c>
      <c r="W39" s="16" t="s">
        <v>15</v>
      </c>
      <c r="X39" s="17"/>
      <c r="Y39" s="42"/>
      <c r="Z39" s="51" t="s">
        <v>17</v>
      </c>
      <c r="AA39" s="84" t="s">
        <v>22</v>
      </c>
      <c r="AB39" s="28" t="s">
        <v>22</v>
      </c>
      <c r="AC39" s="28" t="s">
        <v>26</v>
      </c>
      <c r="AD39" s="28" t="s">
        <v>20</v>
      </c>
      <c r="AE39" s="17"/>
      <c r="AF39" s="42"/>
      <c r="AG39" s="51" t="s">
        <v>16</v>
      </c>
      <c r="AH39" s="28" t="s">
        <v>23</v>
      </c>
      <c r="AI39" s="28" t="s">
        <v>23</v>
      </c>
      <c r="AJ39" s="28" t="s">
        <v>27</v>
      </c>
      <c r="AK39" s="28" t="s">
        <v>18</v>
      </c>
      <c r="AL39" s="28" t="s">
        <v>21</v>
      </c>
      <c r="AM39" s="53" t="s">
        <v>15</v>
      </c>
      <c r="AN39" s="44"/>
      <c r="AO39" s="24"/>
      <c r="AP39" s="19">
        <f t="shared" si="15"/>
        <v>5</v>
      </c>
      <c r="AQ39" s="19">
        <f t="shared" si="16"/>
        <v>3</v>
      </c>
      <c r="AR39" s="19">
        <f t="shared" si="17"/>
        <v>3</v>
      </c>
      <c r="AS39" s="19">
        <f t="shared" si="18"/>
        <v>2</v>
      </c>
      <c r="AT39" s="19">
        <f t="shared" si="28"/>
        <v>2</v>
      </c>
      <c r="AU39" s="19">
        <f t="shared" si="19"/>
        <v>2</v>
      </c>
      <c r="AV39" s="19">
        <f t="shared" si="20"/>
        <v>1</v>
      </c>
      <c r="AW39" s="19">
        <f t="shared" si="21"/>
        <v>2</v>
      </c>
      <c r="AX39" s="19">
        <f t="shared" si="22"/>
        <v>4</v>
      </c>
      <c r="AY39" s="19">
        <f t="shared" si="23"/>
        <v>1</v>
      </c>
      <c r="AZ39" s="19">
        <f t="shared" si="24"/>
        <v>0</v>
      </c>
      <c r="BA39" s="19">
        <f t="shared" si="25"/>
        <v>2</v>
      </c>
      <c r="BB39" s="19">
        <f t="shared" si="26"/>
        <v>2</v>
      </c>
      <c r="BC39" s="15">
        <f t="shared" si="27"/>
        <v>29</v>
      </c>
      <c r="BD39" s="12"/>
      <c r="BE39" s="12"/>
      <c r="BF39" s="12"/>
      <c r="BG39" s="12"/>
      <c r="BH39" s="12"/>
    </row>
    <row r="40" spans="1:60" ht="28.5" customHeight="1">
      <c r="A40" s="141"/>
      <c r="B40" s="20">
        <v>32</v>
      </c>
      <c r="C40" s="13" t="s">
        <v>73</v>
      </c>
      <c r="D40" s="56">
        <v>5</v>
      </c>
      <c r="E40" s="41" t="s">
        <v>15</v>
      </c>
      <c r="F40" s="16" t="s">
        <v>23</v>
      </c>
      <c r="G40" s="16" t="s">
        <v>26</v>
      </c>
      <c r="H40" s="16" t="s">
        <v>17</v>
      </c>
      <c r="I40" s="16" t="s">
        <v>18</v>
      </c>
      <c r="J40" s="17"/>
      <c r="K40" s="42"/>
      <c r="L40" s="41" t="s">
        <v>16</v>
      </c>
      <c r="M40" s="16" t="s">
        <v>16</v>
      </c>
      <c r="N40" s="89" t="s">
        <v>25</v>
      </c>
      <c r="O40" s="16" t="s">
        <v>15</v>
      </c>
      <c r="P40" s="16" t="s">
        <v>27</v>
      </c>
      <c r="Q40" s="16" t="s">
        <v>19</v>
      </c>
      <c r="R40" s="43" t="s">
        <v>19</v>
      </c>
      <c r="S40" s="51" t="s">
        <v>17</v>
      </c>
      <c r="T40" s="28" t="s">
        <v>15</v>
      </c>
      <c r="U40" s="28" t="s">
        <v>20</v>
      </c>
      <c r="V40" s="28" t="s">
        <v>23</v>
      </c>
      <c r="W40" s="28" t="s">
        <v>15</v>
      </c>
      <c r="X40" s="17"/>
      <c r="Y40" s="42"/>
      <c r="Z40" s="51" t="s">
        <v>17</v>
      </c>
      <c r="AA40" s="84" t="s">
        <v>22</v>
      </c>
      <c r="AB40" s="28" t="s">
        <v>22</v>
      </c>
      <c r="AC40" s="28" t="s">
        <v>26</v>
      </c>
      <c r="AD40" s="28" t="s">
        <v>20</v>
      </c>
      <c r="AE40" s="17"/>
      <c r="AF40" s="42"/>
      <c r="AG40" s="51" t="s">
        <v>16</v>
      </c>
      <c r="AH40" s="28" t="s">
        <v>23</v>
      </c>
      <c r="AI40" s="28" t="s">
        <v>23</v>
      </c>
      <c r="AJ40" s="28" t="s">
        <v>27</v>
      </c>
      <c r="AK40" s="28" t="s">
        <v>18</v>
      </c>
      <c r="AL40" s="28" t="s">
        <v>21</v>
      </c>
      <c r="AM40" s="53" t="s">
        <v>15</v>
      </c>
      <c r="AN40" s="44"/>
      <c r="AO40" s="24"/>
      <c r="AP40" s="19">
        <f t="shared" si="15"/>
        <v>5</v>
      </c>
      <c r="AQ40" s="19">
        <f t="shared" si="16"/>
        <v>3</v>
      </c>
      <c r="AR40" s="19">
        <f t="shared" si="17"/>
        <v>3</v>
      </c>
      <c r="AS40" s="19">
        <f t="shared" si="18"/>
        <v>2</v>
      </c>
      <c r="AT40" s="19">
        <f t="shared" si="28"/>
        <v>2</v>
      </c>
      <c r="AU40" s="19">
        <f t="shared" si="19"/>
        <v>2</v>
      </c>
      <c r="AV40" s="19">
        <f t="shared" si="20"/>
        <v>1</v>
      </c>
      <c r="AW40" s="19">
        <f t="shared" si="21"/>
        <v>2</v>
      </c>
      <c r="AX40" s="19">
        <f t="shared" si="22"/>
        <v>4</v>
      </c>
      <c r="AY40" s="19">
        <f t="shared" si="23"/>
        <v>0</v>
      </c>
      <c r="AZ40" s="19">
        <f t="shared" si="24"/>
        <v>1</v>
      </c>
      <c r="BA40" s="19">
        <f t="shared" si="25"/>
        <v>2</v>
      </c>
      <c r="BB40" s="19">
        <f t="shared" si="26"/>
        <v>2</v>
      </c>
      <c r="BC40" s="15">
        <f t="shared" si="27"/>
        <v>29</v>
      </c>
      <c r="BD40" s="12"/>
      <c r="BE40" s="12"/>
      <c r="BF40" s="12"/>
      <c r="BG40" s="12"/>
      <c r="BH40" s="12"/>
    </row>
    <row r="41" spans="1:60" ht="28.5" customHeight="1">
      <c r="A41" s="129">
        <v>11</v>
      </c>
      <c r="B41" s="20">
        <v>33</v>
      </c>
      <c r="C41" s="13" t="s">
        <v>74</v>
      </c>
      <c r="D41" s="56">
        <v>5</v>
      </c>
      <c r="E41" s="41" t="s">
        <v>15</v>
      </c>
      <c r="F41" s="16" t="s">
        <v>23</v>
      </c>
      <c r="G41" s="16" t="s">
        <v>26</v>
      </c>
      <c r="H41" s="16" t="s">
        <v>17</v>
      </c>
      <c r="I41" s="16" t="s">
        <v>18</v>
      </c>
      <c r="J41" s="17"/>
      <c r="K41" s="42"/>
      <c r="L41" s="41" t="s">
        <v>16</v>
      </c>
      <c r="M41" s="16" t="s">
        <v>16</v>
      </c>
      <c r="N41" s="16" t="s">
        <v>24</v>
      </c>
      <c r="O41" s="16" t="s">
        <v>15</v>
      </c>
      <c r="P41" s="16" t="s">
        <v>27</v>
      </c>
      <c r="Q41" s="16" t="s">
        <v>19</v>
      </c>
      <c r="R41" s="43" t="s">
        <v>19</v>
      </c>
      <c r="S41" s="51" t="s">
        <v>17</v>
      </c>
      <c r="T41" s="28" t="s">
        <v>15</v>
      </c>
      <c r="U41" s="28" t="s">
        <v>20</v>
      </c>
      <c r="V41" s="28" t="s">
        <v>23</v>
      </c>
      <c r="W41" s="28" t="s">
        <v>15</v>
      </c>
      <c r="X41" s="17"/>
      <c r="Y41" s="42"/>
      <c r="Z41" s="51" t="s">
        <v>17</v>
      </c>
      <c r="AA41" s="28" t="s">
        <v>21</v>
      </c>
      <c r="AB41" s="28" t="s">
        <v>22</v>
      </c>
      <c r="AC41" s="28" t="s">
        <v>26</v>
      </c>
      <c r="AD41" s="28" t="s">
        <v>20</v>
      </c>
      <c r="AE41" s="17"/>
      <c r="AF41" s="42"/>
      <c r="AG41" s="51" t="s">
        <v>16</v>
      </c>
      <c r="AH41" s="28" t="s">
        <v>23</v>
      </c>
      <c r="AI41" s="28" t="s">
        <v>23</v>
      </c>
      <c r="AJ41" s="28" t="s">
        <v>27</v>
      </c>
      <c r="AK41" s="28" t="s">
        <v>18</v>
      </c>
      <c r="AL41" s="28" t="s">
        <v>21</v>
      </c>
      <c r="AM41" s="53" t="s">
        <v>15</v>
      </c>
      <c r="AN41" s="44"/>
      <c r="AO41" s="24"/>
      <c r="AP41" s="19">
        <f t="shared" si="15"/>
        <v>5</v>
      </c>
      <c r="AQ41" s="19">
        <f t="shared" si="16"/>
        <v>3</v>
      </c>
      <c r="AR41" s="19">
        <f t="shared" si="17"/>
        <v>3</v>
      </c>
      <c r="AS41" s="19">
        <f t="shared" si="18"/>
        <v>2</v>
      </c>
      <c r="AT41" s="19">
        <f t="shared" si="28"/>
        <v>2</v>
      </c>
      <c r="AU41" s="19">
        <f t="shared" si="19"/>
        <v>2</v>
      </c>
      <c r="AV41" s="19">
        <f t="shared" si="20"/>
        <v>2</v>
      </c>
      <c r="AW41" s="19">
        <f t="shared" si="21"/>
        <v>1</v>
      </c>
      <c r="AX41" s="19">
        <f t="shared" si="22"/>
        <v>4</v>
      </c>
      <c r="AY41" s="19">
        <f t="shared" si="23"/>
        <v>1</v>
      </c>
      <c r="AZ41" s="19">
        <f t="shared" si="24"/>
        <v>0</v>
      </c>
      <c r="BA41" s="19">
        <f t="shared" si="25"/>
        <v>2</v>
      </c>
      <c r="BB41" s="19">
        <f t="shared" si="26"/>
        <v>2</v>
      </c>
      <c r="BC41" s="15">
        <f t="shared" si="27"/>
        <v>29</v>
      </c>
      <c r="BD41" s="12"/>
      <c r="BE41" s="12"/>
      <c r="BF41" s="12"/>
      <c r="BG41" s="12"/>
      <c r="BH41" s="12"/>
    </row>
    <row r="42" spans="1:60" ht="28.5" customHeight="1">
      <c r="A42" s="129"/>
      <c r="B42" s="20">
        <v>34</v>
      </c>
      <c r="C42" s="13" t="s">
        <v>75</v>
      </c>
      <c r="D42" s="56">
        <v>5</v>
      </c>
      <c r="E42" s="41" t="s">
        <v>15</v>
      </c>
      <c r="F42" s="16" t="s">
        <v>23</v>
      </c>
      <c r="G42" s="16" t="s">
        <v>26</v>
      </c>
      <c r="H42" s="16" t="s">
        <v>17</v>
      </c>
      <c r="I42" s="16" t="s">
        <v>18</v>
      </c>
      <c r="J42" s="17"/>
      <c r="K42" s="42"/>
      <c r="L42" s="41" t="s">
        <v>16</v>
      </c>
      <c r="M42" s="16" t="s">
        <v>16</v>
      </c>
      <c r="N42" s="16" t="s">
        <v>24</v>
      </c>
      <c r="O42" s="16" t="s">
        <v>15</v>
      </c>
      <c r="P42" s="16" t="s">
        <v>27</v>
      </c>
      <c r="Q42" s="16" t="s">
        <v>19</v>
      </c>
      <c r="R42" s="43" t="s">
        <v>19</v>
      </c>
      <c r="S42" s="41" t="s">
        <v>17</v>
      </c>
      <c r="T42" s="16" t="s">
        <v>15</v>
      </c>
      <c r="U42" s="16" t="s">
        <v>20</v>
      </c>
      <c r="V42" s="16" t="s">
        <v>23</v>
      </c>
      <c r="W42" s="16" t="s">
        <v>15</v>
      </c>
      <c r="X42" s="17"/>
      <c r="Y42" s="42"/>
      <c r="Z42" s="51" t="s">
        <v>17</v>
      </c>
      <c r="AA42" s="28" t="s">
        <v>21</v>
      </c>
      <c r="AB42" s="28" t="s">
        <v>22</v>
      </c>
      <c r="AC42" s="28" t="s">
        <v>26</v>
      </c>
      <c r="AD42" s="28" t="s">
        <v>20</v>
      </c>
      <c r="AE42" s="17"/>
      <c r="AF42" s="42"/>
      <c r="AG42" s="51" t="s">
        <v>16</v>
      </c>
      <c r="AH42" s="28" t="s">
        <v>23</v>
      </c>
      <c r="AI42" s="28" t="s">
        <v>23</v>
      </c>
      <c r="AJ42" s="28" t="s">
        <v>27</v>
      </c>
      <c r="AK42" s="28" t="s">
        <v>18</v>
      </c>
      <c r="AL42" s="28" t="s">
        <v>21</v>
      </c>
      <c r="AM42" s="53" t="s">
        <v>15</v>
      </c>
      <c r="AN42" s="44"/>
      <c r="AO42" s="24"/>
      <c r="AP42" s="19">
        <f t="shared" si="15"/>
        <v>5</v>
      </c>
      <c r="AQ42" s="19">
        <f t="shared" si="16"/>
        <v>3</v>
      </c>
      <c r="AR42" s="19">
        <f t="shared" si="17"/>
        <v>3</v>
      </c>
      <c r="AS42" s="19">
        <f t="shared" si="18"/>
        <v>2</v>
      </c>
      <c r="AT42" s="19">
        <f t="shared" si="28"/>
        <v>2</v>
      </c>
      <c r="AU42" s="19">
        <f t="shared" si="19"/>
        <v>2</v>
      </c>
      <c r="AV42" s="19">
        <f t="shared" si="20"/>
        <v>2</v>
      </c>
      <c r="AW42" s="19">
        <f t="shared" si="21"/>
        <v>1</v>
      </c>
      <c r="AX42" s="19">
        <f t="shared" si="22"/>
        <v>4</v>
      </c>
      <c r="AY42" s="19">
        <f t="shared" si="23"/>
        <v>1</v>
      </c>
      <c r="AZ42" s="19">
        <f t="shared" si="24"/>
        <v>0</v>
      </c>
      <c r="BA42" s="19">
        <f t="shared" si="25"/>
        <v>2</v>
      </c>
      <c r="BB42" s="19">
        <f t="shared" si="26"/>
        <v>2</v>
      </c>
      <c r="BC42" s="15">
        <f t="shared" si="27"/>
        <v>29</v>
      </c>
      <c r="BD42" s="12"/>
      <c r="BE42" s="12"/>
      <c r="BF42" s="12"/>
      <c r="BG42" s="12"/>
      <c r="BH42" s="12"/>
    </row>
    <row r="43" spans="1:60" ht="28.5" customHeight="1">
      <c r="A43" s="129"/>
      <c r="B43" s="20">
        <v>35</v>
      </c>
      <c r="C43" s="13" t="s">
        <v>76</v>
      </c>
      <c r="D43" s="56">
        <v>5</v>
      </c>
      <c r="E43" s="41" t="s">
        <v>15</v>
      </c>
      <c r="F43" s="16" t="s">
        <v>23</v>
      </c>
      <c r="G43" s="16" t="s">
        <v>26</v>
      </c>
      <c r="H43" s="16" t="s">
        <v>17</v>
      </c>
      <c r="I43" s="16" t="s">
        <v>18</v>
      </c>
      <c r="J43" s="17"/>
      <c r="K43" s="42"/>
      <c r="L43" s="41" t="s">
        <v>16</v>
      </c>
      <c r="M43" s="16" t="s">
        <v>16</v>
      </c>
      <c r="N43" s="16" t="s">
        <v>24</v>
      </c>
      <c r="O43" s="16" t="s">
        <v>15</v>
      </c>
      <c r="P43" s="16" t="s">
        <v>27</v>
      </c>
      <c r="Q43" s="16" t="s">
        <v>19</v>
      </c>
      <c r="R43" s="43" t="s">
        <v>19</v>
      </c>
      <c r="S43" s="51" t="s">
        <v>17</v>
      </c>
      <c r="T43" s="28" t="s">
        <v>15</v>
      </c>
      <c r="U43" s="28" t="s">
        <v>20</v>
      </c>
      <c r="V43" s="28" t="s">
        <v>23</v>
      </c>
      <c r="W43" s="28" t="s">
        <v>15</v>
      </c>
      <c r="X43" s="17"/>
      <c r="Y43" s="42"/>
      <c r="Z43" s="51" t="s">
        <v>17</v>
      </c>
      <c r="AA43" s="28" t="s">
        <v>21</v>
      </c>
      <c r="AB43" s="28" t="s">
        <v>22</v>
      </c>
      <c r="AC43" s="28" t="s">
        <v>26</v>
      </c>
      <c r="AD43" s="28" t="s">
        <v>20</v>
      </c>
      <c r="AE43" s="17"/>
      <c r="AF43" s="42"/>
      <c r="AG43" s="51" t="s">
        <v>16</v>
      </c>
      <c r="AH43" s="28" t="s">
        <v>23</v>
      </c>
      <c r="AI43" s="28" t="s">
        <v>23</v>
      </c>
      <c r="AJ43" s="28" t="s">
        <v>27</v>
      </c>
      <c r="AK43" s="28" t="s">
        <v>18</v>
      </c>
      <c r="AL43" s="28" t="s">
        <v>21</v>
      </c>
      <c r="AM43" s="53" t="s">
        <v>15</v>
      </c>
      <c r="AN43" s="44"/>
      <c r="AO43" s="24"/>
      <c r="AP43" s="19">
        <f t="shared" si="15"/>
        <v>5</v>
      </c>
      <c r="AQ43" s="19">
        <f t="shared" si="16"/>
        <v>3</v>
      </c>
      <c r="AR43" s="19">
        <f t="shared" si="17"/>
        <v>3</v>
      </c>
      <c r="AS43" s="19">
        <f t="shared" si="18"/>
        <v>2</v>
      </c>
      <c r="AT43" s="19">
        <f t="shared" si="28"/>
        <v>2</v>
      </c>
      <c r="AU43" s="19">
        <f t="shared" si="19"/>
        <v>2</v>
      </c>
      <c r="AV43" s="19">
        <f t="shared" si="20"/>
        <v>2</v>
      </c>
      <c r="AW43" s="19">
        <f t="shared" si="21"/>
        <v>1</v>
      </c>
      <c r="AX43" s="19">
        <f t="shared" si="22"/>
        <v>4</v>
      </c>
      <c r="AY43" s="19">
        <f t="shared" si="23"/>
        <v>1</v>
      </c>
      <c r="AZ43" s="19">
        <f t="shared" si="24"/>
        <v>0</v>
      </c>
      <c r="BA43" s="19">
        <f t="shared" si="25"/>
        <v>2</v>
      </c>
      <c r="BB43" s="19">
        <f t="shared" si="26"/>
        <v>2</v>
      </c>
      <c r="BC43" s="15">
        <f t="shared" si="27"/>
        <v>29</v>
      </c>
      <c r="BD43" s="12"/>
      <c r="BE43" s="12"/>
      <c r="BF43" s="12"/>
      <c r="BG43" s="12"/>
      <c r="BH43" s="12"/>
    </row>
    <row r="44" spans="1:60" ht="28.5" customHeight="1">
      <c r="A44" s="129"/>
      <c r="B44" s="20">
        <v>36</v>
      </c>
      <c r="C44" s="13" t="s">
        <v>77</v>
      </c>
      <c r="D44" s="56">
        <v>5</v>
      </c>
      <c r="E44" s="41" t="s">
        <v>15</v>
      </c>
      <c r="F44" s="16" t="s">
        <v>23</v>
      </c>
      <c r="G44" s="16" t="s">
        <v>26</v>
      </c>
      <c r="H44" s="16" t="s">
        <v>17</v>
      </c>
      <c r="I44" s="16" t="s">
        <v>18</v>
      </c>
      <c r="J44" s="17"/>
      <c r="K44" s="42"/>
      <c r="L44" s="41" t="s">
        <v>16</v>
      </c>
      <c r="M44" s="16" t="s">
        <v>16</v>
      </c>
      <c r="N44" s="16" t="s">
        <v>24</v>
      </c>
      <c r="O44" s="16" t="s">
        <v>15</v>
      </c>
      <c r="P44" s="16" t="s">
        <v>27</v>
      </c>
      <c r="Q44" s="16" t="s">
        <v>19</v>
      </c>
      <c r="R44" s="43" t="s">
        <v>19</v>
      </c>
      <c r="S44" s="41" t="s">
        <v>17</v>
      </c>
      <c r="T44" s="16" t="s">
        <v>15</v>
      </c>
      <c r="U44" s="16" t="s">
        <v>20</v>
      </c>
      <c r="V44" s="16" t="s">
        <v>23</v>
      </c>
      <c r="W44" s="16" t="s">
        <v>15</v>
      </c>
      <c r="X44" s="17"/>
      <c r="Y44" s="42"/>
      <c r="Z44" s="51" t="s">
        <v>17</v>
      </c>
      <c r="AA44" s="28" t="s">
        <v>21</v>
      </c>
      <c r="AB44" s="28" t="s">
        <v>22</v>
      </c>
      <c r="AC44" s="28" t="s">
        <v>26</v>
      </c>
      <c r="AD44" s="28" t="s">
        <v>20</v>
      </c>
      <c r="AE44" s="17"/>
      <c r="AF44" s="42"/>
      <c r="AG44" s="51" t="s">
        <v>16</v>
      </c>
      <c r="AH44" s="28" t="s">
        <v>23</v>
      </c>
      <c r="AI44" s="28" t="s">
        <v>23</v>
      </c>
      <c r="AJ44" s="28" t="s">
        <v>27</v>
      </c>
      <c r="AK44" s="28" t="s">
        <v>18</v>
      </c>
      <c r="AL44" s="28" t="s">
        <v>21</v>
      </c>
      <c r="AM44" s="53" t="s">
        <v>15</v>
      </c>
      <c r="AN44" s="44"/>
      <c r="AO44" s="24"/>
      <c r="AP44" s="19">
        <f t="shared" si="15"/>
        <v>5</v>
      </c>
      <c r="AQ44" s="19">
        <f t="shared" si="16"/>
        <v>3</v>
      </c>
      <c r="AR44" s="19">
        <f t="shared" si="17"/>
        <v>3</v>
      </c>
      <c r="AS44" s="19">
        <f t="shared" si="18"/>
        <v>2</v>
      </c>
      <c r="AT44" s="19">
        <f t="shared" si="28"/>
        <v>2</v>
      </c>
      <c r="AU44" s="19">
        <f t="shared" si="19"/>
        <v>2</v>
      </c>
      <c r="AV44" s="19">
        <f t="shared" si="20"/>
        <v>2</v>
      </c>
      <c r="AW44" s="19">
        <f t="shared" si="21"/>
        <v>1</v>
      </c>
      <c r="AX44" s="19">
        <f t="shared" si="22"/>
        <v>4</v>
      </c>
      <c r="AY44" s="19">
        <f t="shared" si="23"/>
        <v>1</v>
      </c>
      <c r="AZ44" s="19">
        <f t="shared" si="24"/>
        <v>0</v>
      </c>
      <c r="BA44" s="19">
        <f t="shared" si="25"/>
        <v>2</v>
      </c>
      <c r="BB44" s="19">
        <f t="shared" si="26"/>
        <v>2</v>
      </c>
      <c r="BC44" s="15">
        <f t="shared" si="27"/>
        <v>29</v>
      </c>
      <c r="BD44" s="12"/>
      <c r="BE44" s="12"/>
      <c r="BF44" s="12"/>
      <c r="BG44" s="12"/>
      <c r="BH44" s="12"/>
    </row>
    <row r="45" spans="1:60" ht="28.5" customHeight="1">
      <c r="A45" s="140">
        <v>12</v>
      </c>
      <c r="B45" s="20">
        <v>37</v>
      </c>
      <c r="C45" s="13" t="s">
        <v>78</v>
      </c>
      <c r="D45" s="56">
        <v>5</v>
      </c>
      <c r="E45" s="41" t="s">
        <v>15</v>
      </c>
      <c r="F45" s="16" t="s">
        <v>23</v>
      </c>
      <c r="G45" s="16" t="s">
        <v>26</v>
      </c>
      <c r="H45" s="16" t="s">
        <v>17</v>
      </c>
      <c r="I45" s="16" t="s">
        <v>18</v>
      </c>
      <c r="J45" s="17"/>
      <c r="K45" s="42"/>
      <c r="L45" s="41" t="s">
        <v>16</v>
      </c>
      <c r="M45" s="16" t="s">
        <v>16</v>
      </c>
      <c r="N45" s="89" t="s">
        <v>25</v>
      </c>
      <c r="O45" s="16" t="s">
        <v>15</v>
      </c>
      <c r="P45" s="16" t="s">
        <v>27</v>
      </c>
      <c r="Q45" s="16" t="s">
        <v>19</v>
      </c>
      <c r="R45" s="43" t="s">
        <v>19</v>
      </c>
      <c r="S45" s="51" t="s">
        <v>17</v>
      </c>
      <c r="T45" s="28" t="s">
        <v>15</v>
      </c>
      <c r="U45" s="28" t="s">
        <v>20</v>
      </c>
      <c r="V45" s="28" t="s">
        <v>23</v>
      </c>
      <c r="W45" s="28" t="s">
        <v>15</v>
      </c>
      <c r="X45" s="17"/>
      <c r="Y45" s="42"/>
      <c r="Z45" s="51" t="s">
        <v>17</v>
      </c>
      <c r="AA45" s="28" t="s">
        <v>21</v>
      </c>
      <c r="AB45" s="28" t="s">
        <v>22</v>
      </c>
      <c r="AC45" s="28" t="s">
        <v>26</v>
      </c>
      <c r="AD45" s="28" t="s">
        <v>20</v>
      </c>
      <c r="AE45" s="17"/>
      <c r="AF45" s="42"/>
      <c r="AG45" s="51" t="s">
        <v>16</v>
      </c>
      <c r="AH45" s="28" t="s">
        <v>23</v>
      </c>
      <c r="AI45" s="28" t="s">
        <v>23</v>
      </c>
      <c r="AJ45" s="28" t="s">
        <v>27</v>
      </c>
      <c r="AK45" s="28" t="s">
        <v>18</v>
      </c>
      <c r="AL45" s="28" t="s">
        <v>21</v>
      </c>
      <c r="AM45" s="53" t="s">
        <v>15</v>
      </c>
      <c r="AN45" s="44"/>
      <c r="AO45" s="24"/>
      <c r="AP45" s="19">
        <f t="shared" si="15"/>
        <v>5</v>
      </c>
      <c r="AQ45" s="19">
        <f t="shared" si="16"/>
        <v>3</v>
      </c>
      <c r="AR45" s="19">
        <f t="shared" si="17"/>
        <v>3</v>
      </c>
      <c r="AS45" s="19">
        <f t="shared" si="18"/>
        <v>2</v>
      </c>
      <c r="AT45" s="19">
        <f t="shared" si="28"/>
        <v>2</v>
      </c>
      <c r="AU45" s="19">
        <f t="shared" si="19"/>
        <v>2</v>
      </c>
      <c r="AV45" s="19">
        <f t="shared" si="20"/>
        <v>2</v>
      </c>
      <c r="AW45" s="19">
        <f t="shared" si="21"/>
        <v>1</v>
      </c>
      <c r="AX45" s="19">
        <f t="shared" si="22"/>
        <v>4</v>
      </c>
      <c r="AY45" s="19">
        <f t="shared" si="23"/>
        <v>0</v>
      </c>
      <c r="AZ45" s="19">
        <f t="shared" si="24"/>
        <v>1</v>
      </c>
      <c r="BA45" s="19">
        <f t="shared" si="25"/>
        <v>2</v>
      </c>
      <c r="BB45" s="19">
        <f t="shared" si="26"/>
        <v>2</v>
      </c>
      <c r="BC45" s="15">
        <f t="shared" si="27"/>
        <v>29</v>
      </c>
      <c r="BD45" s="12"/>
      <c r="BE45" s="12"/>
      <c r="BF45" s="12"/>
      <c r="BG45" s="12"/>
      <c r="BH45" s="12"/>
    </row>
    <row r="46" spans="1:60" ht="28.5" customHeight="1">
      <c r="A46" s="129"/>
      <c r="B46" s="20">
        <v>38</v>
      </c>
      <c r="C46" s="13" t="s">
        <v>79</v>
      </c>
      <c r="D46" s="56">
        <v>5</v>
      </c>
      <c r="E46" s="41" t="s">
        <v>15</v>
      </c>
      <c r="F46" s="16" t="s">
        <v>23</v>
      </c>
      <c r="G46" s="16" t="s">
        <v>26</v>
      </c>
      <c r="H46" s="16" t="s">
        <v>17</v>
      </c>
      <c r="I46" s="16" t="s">
        <v>18</v>
      </c>
      <c r="J46" s="17"/>
      <c r="K46" s="42"/>
      <c r="L46" s="41" t="s">
        <v>16</v>
      </c>
      <c r="M46" s="16" t="s">
        <v>16</v>
      </c>
      <c r="N46" s="16" t="s">
        <v>24</v>
      </c>
      <c r="O46" s="16" t="s">
        <v>15</v>
      </c>
      <c r="P46" s="16" t="s">
        <v>27</v>
      </c>
      <c r="Q46" s="16" t="s">
        <v>19</v>
      </c>
      <c r="R46" s="43" t="s">
        <v>19</v>
      </c>
      <c r="S46" s="41" t="s">
        <v>17</v>
      </c>
      <c r="T46" s="16" t="s">
        <v>15</v>
      </c>
      <c r="U46" s="16" t="s">
        <v>20</v>
      </c>
      <c r="V46" s="16" t="s">
        <v>23</v>
      </c>
      <c r="W46" s="16" t="s">
        <v>15</v>
      </c>
      <c r="X46" s="17"/>
      <c r="Y46" s="42"/>
      <c r="Z46" s="51" t="s">
        <v>17</v>
      </c>
      <c r="AA46" s="28" t="s">
        <v>21</v>
      </c>
      <c r="AB46" s="28" t="s">
        <v>22</v>
      </c>
      <c r="AC46" s="28" t="s">
        <v>26</v>
      </c>
      <c r="AD46" s="28" t="s">
        <v>20</v>
      </c>
      <c r="AE46" s="17"/>
      <c r="AF46" s="42"/>
      <c r="AG46" s="51" t="s">
        <v>16</v>
      </c>
      <c r="AH46" s="28" t="s">
        <v>23</v>
      </c>
      <c r="AI46" s="28" t="s">
        <v>23</v>
      </c>
      <c r="AJ46" s="28" t="s">
        <v>27</v>
      </c>
      <c r="AK46" s="28" t="s">
        <v>18</v>
      </c>
      <c r="AL46" s="28" t="s">
        <v>21</v>
      </c>
      <c r="AM46" s="53" t="s">
        <v>15</v>
      </c>
      <c r="AN46" s="44"/>
      <c r="AO46" s="24"/>
      <c r="AP46" s="19">
        <f t="shared" si="15"/>
        <v>5</v>
      </c>
      <c r="AQ46" s="19">
        <f t="shared" si="16"/>
        <v>3</v>
      </c>
      <c r="AR46" s="19">
        <f t="shared" si="17"/>
        <v>3</v>
      </c>
      <c r="AS46" s="19">
        <f t="shared" si="18"/>
        <v>2</v>
      </c>
      <c r="AT46" s="19">
        <f t="shared" si="28"/>
        <v>2</v>
      </c>
      <c r="AU46" s="19">
        <f t="shared" si="19"/>
        <v>2</v>
      </c>
      <c r="AV46" s="19">
        <f t="shared" si="20"/>
        <v>2</v>
      </c>
      <c r="AW46" s="19">
        <f t="shared" si="21"/>
        <v>1</v>
      </c>
      <c r="AX46" s="19">
        <f t="shared" si="22"/>
        <v>4</v>
      </c>
      <c r="AY46" s="19">
        <f t="shared" si="23"/>
        <v>1</v>
      </c>
      <c r="AZ46" s="19">
        <f t="shared" si="24"/>
        <v>0</v>
      </c>
      <c r="BA46" s="19">
        <f t="shared" si="25"/>
        <v>2</v>
      </c>
      <c r="BB46" s="19">
        <f t="shared" si="26"/>
        <v>2</v>
      </c>
      <c r="BC46" s="15">
        <f t="shared" si="27"/>
        <v>29</v>
      </c>
      <c r="BD46" s="12"/>
      <c r="BE46" s="12"/>
      <c r="BF46" s="12"/>
      <c r="BG46" s="12"/>
      <c r="BH46" s="12"/>
    </row>
    <row r="47" spans="1:60" ht="28.5" customHeight="1">
      <c r="A47" s="129"/>
      <c r="B47" s="20">
        <v>39</v>
      </c>
      <c r="C47" s="13" t="s">
        <v>80</v>
      </c>
      <c r="D47" s="56">
        <v>5</v>
      </c>
      <c r="E47" s="41" t="s">
        <v>15</v>
      </c>
      <c r="F47" s="16" t="s">
        <v>23</v>
      </c>
      <c r="G47" s="16" t="s">
        <v>26</v>
      </c>
      <c r="H47" s="16" t="s">
        <v>17</v>
      </c>
      <c r="I47" s="16" t="s">
        <v>18</v>
      </c>
      <c r="J47" s="17"/>
      <c r="K47" s="42"/>
      <c r="L47" s="41" t="s">
        <v>16</v>
      </c>
      <c r="M47" s="16" t="s">
        <v>16</v>
      </c>
      <c r="N47" s="16" t="s">
        <v>24</v>
      </c>
      <c r="O47" s="16" t="s">
        <v>15</v>
      </c>
      <c r="P47" s="16" t="s">
        <v>27</v>
      </c>
      <c r="Q47" s="16" t="s">
        <v>19</v>
      </c>
      <c r="R47" s="43" t="s">
        <v>19</v>
      </c>
      <c r="S47" s="51" t="s">
        <v>17</v>
      </c>
      <c r="T47" s="28" t="s">
        <v>15</v>
      </c>
      <c r="U47" s="28" t="s">
        <v>20</v>
      </c>
      <c r="V47" s="28" t="s">
        <v>23</v>
      </c>
      <c r="W47" s="28" t="s">
        <v>15</v>
      </c>
      <c r="X47" s="17"/>
      <c r="Y47" s="42"/>
      <c r="Z47" s="51" t="s">
        <v>17</v>
      </c>
      <c r="AA47" s="28" t="s">
        <v>21</v>
      </c>
      <c r="AB47" s="28" t="s">
        <v>22</v>
      </c>
      <c r="AC47" s="28" t="s">
        <v>26</v>
      </c>
      <c r="AD47" s="28" t="s">
        <v>20</v>
      </c>
      <c r="AE47" s="17"/>
      <c r="AF47" s="42"/>
      <c r="AG47" s="51" t="s">
        <v>16</v>
      </c>
      <c r="AH47" s="28" t="s">
        <v>23</v>
      </c>
      <c r="AI47" s="28" t="s">
        <v>23</v>
      </c>
      <c r="AJ47" s="28" t="s">
        <v>27</v>
      </c>
      <c r="AK47" s="28" t="s">
        <v>18</v>
      </c>
      <c r="AL47" s="28" t="s">
        <v>21</v>
      </c>
      <c r="AM47" s="53" t="s">
        <v>15</v>
      </c>
      <c r="AN47" s="44"/>
      <c r="AO47" s="24"/>
      <c r="AP47" s="19">
        <f t="shared" si="15"/>
        <v>5</v>
      </c>
      <c r="AQ47" s="19">
        <f t="shared" si="16"/>
        <v>3</v>
      </c>
      <c r="AR47" s="19">
        <f t="shared" si="17"/>
        <v>3</v>
      </c>
      <c r="AS47" s="19">
        <f t="shared" si="18"/>
        <v>2</v>
      </c>
      <c r="AT47" s="19">
        <f t="shared" si="28"/>
        <v>2</v>
      </c>
      <c r="AU47" s="19">
        <f t="shared" si="19"/>
        <v>2</v>
      </c>
      <c r="AV47" s="19">
        <f t="shared" si="20"/>
        <v>2</v>
      </c>
      <c r="AW47" s="19">
        <f t="shared" si="21"/>
        <v>1</v>
      </c>
      <c r="AX47" s="19">
        <f t="shared" si="22"/>
        <v>4</v>
      </c>
      <c r="AY47" s="19">
        <f t="shared" si="23"/>
        <v>1</v>
      </c>
      <c r="AZ47" s="19">
        <f t="shared" si="24"/>
        <v>0</v>
      </c>
      <c r="BA47" s="19">
        <f t="shared" si="25"/>
        <v>2</v>
      </c>
      <c r="BB47" s="19">
        <f t="shared" si="26"/>
        <v>2</v>
      </c>
      <c r="BC47" s="15">
        <f t="shared" si="27"/>
        <v>29</v>
      </c>
      <c r="BD47" s="12"/>
      <c r="BE47" s="12"/>
      <c r="BF47" s="12"/>
      <c r="BG47" s="12"/>
      <c r="BH47" s="12"/>
    </row>
    <row r="48" spans="1:60" ht="28.5" customHeight="1">
      <c r="A48" s="129"/>
      <c r="B48" s="20">
        <v>40</v>
      </c>
      <c r="C48" s="13" t="s">
        <v>81</v>
      </c>
      <c r="D48" s="56">
        <v>4</v>
      </c>
      <c r="E48" s="41" t="s">
        <v>15</v>
      </c>
      <c r="F48" s="16" t="s">
        <v>23</v>
      </c>
      <c r="G48" s="16" t="s">
        <v>26</v>
      </c>
      <c r="H48" s="16" t="s">
        <v>17</v>
      </c>
      <c r="I48" s="16" t="s">
        <v>18</v>
      </c>
      <c r="J48" s="17"/>
      <c r="K48" s="42"/>
      <c r="L48" s="82" t="s">
        <v>23</v>
      </c>
      <c r="M48" s="81" t="s">
        <v>23</v>
      </c>
      <c r="N48" s="16" t="s">
        <v>24</v>
      </c>
      <c r="O48" s="16" t="s">
        <v>15</v>
      </c>
      <c r="P48" s="16" t="s">
        <v>27</v>
      </c>
      <c r="Q48" s="16" t="s">
        <v>19</v>
      </c>
      <c r="R48" s="43" t="s">
        <v>19</v>
      </c>
      <c r="S48" s="41" t="s">
        <v>17</v>
      </c>
      <c r="T48" s="16" t="s">
        <v>15</v>
      </c>
      <c r="U48" s="16" t="s">
        <v>20</v>
      </c>
      <c r="V48" s="16" t="s">
        <v>23</v>
      </c>
      <c r="W48" s="16" t="s">
        <v>15</v>
      </c>
      <c r="X48" s="17"/>
      <c r="Y48" s="42"/>
      <c r="Z48" s="51" t="s">
        <v>17</v>
      </c>
      <c r="AA48" s="28" t="s">
        <v>21</v>
      </c>
      <c r="AB48" s="28" t="s">
        <v>22</v>
      </c>
      <c r="AC48" s="28" t="s">
        <v>26</v>
      </c>
      <c r="AD48" s="28" t="s">
        <v>20</v>
      </c>
      <c r="AE48" s="17"/>
      <c r="AF48" s="42"/>
      <c r="AG48" s="142" t="s">
        <v>82</v>
      </c>
      <c r="AH48" s="192"/>
      <c r="AI48" s="192"/>
      <c r="AJ48" s="192"/>
      <c r="AK48" s="192"/>
      <c r="AL48" s="192"/>
      <c r="AM48" s="193"/>
      <c r="AN48" s="44"/>
      <c r="AO48" s="24"/>
      <c r="AP48" s="19">
        <f t="shared" si="15"/>
        <v>4</v>
      </c>
      <c r="AQ48" s="19">
        <f t="shared" si="16"/>
        <v>0</v>
      </c>
      <c r="AR48" s="19">
        <f t="shared" si="17"/>
        <v>3</v>
      </c>
      <c r="AS48" s="19">
        <f t="shared" si="18"/>
        <v>1</v>
      </c>
      <c r="AT48" s="19">
        <f t="shared" si="28"/>
        <v>2</v>
      </c>
      <c r="AU48" s="19">
        <f t="shared" si="19"/>
        <v>2</v>
      </c>
      <c r="AV48" s="19">
        <f t="shared" si="20"/>
        <v>1</v>
      </c>
      <c r="AW48" s="19">
        <f t="shared" si="21"/>
        <v>1</v>
      </c>
      <c r="AX48" s="19">
        <f t="shared" si="22"/>
        <v>4</v>
      </c>
      <c r="AY48" s="19">
        <f t="shared" si="23"/>
        <v>1</v>
      </c>
      <c r="AZ48" s="19">
        <f t="shared" si="24"/>
        <v>0</v>
      </c>
      <c r="BA48" s="19">
        <f t="shared" si="25"/>
        <v>2</v>
      </c>
      <c r="BB48" s="19">
        <f t="shared" si="26"/>
        <v>1</v>
      </c>
      <c r="BC48" s="15">
        <f t="shared" si="27"/>
        <v>22</v>
      </c>
      <c r="BD48" s="12"/>
      <c r="BE48" s="12"/>
      <c r="BF48" s="12"/>
      <c r="BG48" s="12"/>
      <c r="BH48" s="12"/>
    </row>
    <row r="49" spans="1:68" ht="28.5" customHeight="1">
      <c r="A49" s="143"/>
      <c r="B49" s="55">
        <v>41</v>
      </c>
      <c r="C49" s="30" t="s">
        <v>83</v>
      </c>
      <c r="D49" s="59">
        <v>4</v>
      </c>
      <c r="E49" s="41" t="s">
        <v>15</v>
      </c>
      <c r="F49" s="16" t="s">
        <v>23</v>
      </c>
      <c r="G49" s="16" t="s">
        <v>26</v>
      </c>
      <c r="H49" s="16" t="s">
        <v>17</v>
      </c>
      <c r="I49" s="16" t="s">
        <v>18</v>
      </c>
      <c r="J49" s="27"/>
      <c r="K49" s="60"/>
      <c r="L49" s="82" t="s">
        <v>23</v>
      </c>
      <c r="M49" s="81" t="s">
        <v>23</v>
      </c>
      <c r="N49" s="16" t="s">
        <v>24</v>
      </c>
      <c r="O49" s="16" t="s">
        <v>15</v>
      </c>
      <c r="P49" s="16" t="s">
        <v>27</v>
      </c>
      <c r="Q49" s="16" t="s">
        <v>19</v>
      </c>
      <c r="R49" s="43" t="s">
        <v>19</v>
      </c>
      <c r="S49" s="51" t="s">
        <v>17</v>
      </c>
      <c r="T49" s="28" t="s">
        <v>15</v>
      </c>
      <c r="U49" s="28" t="s">
        <v>20</v>
      </c>
      <c r="V49" s="28" t="s">
        <v>23</v>
      </c>
      <c r="W49" s="28" t="s">
        <v>15</v>
      </c>
      <c r="X49" s="27"/>
      <c r="Y49" s="60"/>
      <c r="Z49" s="51" t="s">
        <v>17</v>
      </c>
      <c r="AA49" s="28" t="s">
        <v>21</v>
      </c>
      <c r="AB49" s="28" t="s">
        <v>22</v>
      </c>
      <c r="AC49" s="28" t="s">
        <v>26</v>
      </c>
      <c r="AD49" s="61" t="s">
        <v>84</v>
      </c>
      <c r="AE49" s="62"/>
      <c r="AF49" s="63"/>
      <c r="AG49" s="64"/>
      <c r="AH49" s="65"/>
      <c r="AI49" s="65"/>
      <c r="AJ49" s="65"/>
      <c r="AK49" s="62"/>
      <c r="AL49" s="62"/>
      <c r="AM49" s="63"/>
      <c r="AN49" s="66"/>
      <c r="AO49" s="24"/>
      <c r="AP49" s="19">
        <f t="shared" si="15"/>
        <v>4</v>
      </c>
      <c r="AQ49" s="19">
        <f t="shared" si="16"/>
        <v>0</v>
      </c>
      <c r="AR49" s="19">
        <f t="shared" si="17"/>
        <v>3</v>
      </c>
      <c r="AS49" s="19">
        <f t="shared" si="18"/>
        <v>1</v>
      </c>
      <c r="AT49" s="19">
        <f t="shared" si="28"/>
        <v>2</v>
      </c>
      <c r="AU49" s="19">
        <f t="shared" si="19"/>
        <v>1</v>
      </c>
      <c r="AV49" s="19">
        <f t="shared" si="20"/>
        <v>1</v>
      </c>
      <c r="AW49" s="19">
        <f t="shared" si="21"/>
        <v>1</v>
      </c>
      <c r="AX49" s="19">
        <f t="shared" si="22"/>
        <v>4</v>
      </c>
      <c r="AY49" s="19">
        <f t="shared" si="23"/>
        <v>1</v>
      </c>
      <c r="AZ49" s="19">
        <f t="shared" si="24"/>
        <v>0</v>
      </c>
      <c r="BA49" s="19">
        <f t="shared" si="25"/>
        <v>2</v>
      </c>
      <c r="BB49" s="19">
        <f t="shared" si="26"/>
        <v>1</v>
      </c>
      <c r="BC49" s="15">
        <f t="shared" si="27"/>
        <v>21</v>
      </c>
      <c r="BD49" s="12"/>
      <c r="BE49" s="12"/>
      <c r="BF49" s="12"/>
      <c r="BG49" s="12"/>
      <c r="BH49" s="12"/>
    </row>
    <row r="50" spans="1:68" ht="28.5" customHeight="1">
      <c r="A50" s="145" t="s">
        <v>85</v>
      </c>
      <c r="B50" s="176"/>
      <c r="C50" s="194"/>
      <c r="D50" s="67">
        <f>SUM(D30:D49)</f>
        <v>92</v>
      </c>
      <c r="E50" s="145">
        <v>18</v>
      </c>
      <c r="F50" s="176"/>
      <c r="G50" s="176"/>
      <c r="H50" s="176"/>
      <c r="I50" s="176"/>
      <c r="J50" s="176"/>
      <c r="K50" s="177"/>
      <c r="L50" s="145">
        <v>20</v>
      </c>
      <c r="M50" s="176"/>
      <c r="N50" s="176"/>
      <c r="O50" s="176"/>
      <c r="P50" s="176"/>
      <c r="Q50" s="176"/>
      <c r="R50" s="177"/>
      <c r="S50" s="145">
        <v>19</v>
      </c>
      <c r="T50" s="176"/>
      <c r="U50" s="176"/>
      <c r="V50" s="176"/>
      <c r="W50" s="176"/>
      <c r="X50" s="176"/>
      <c r="Y50" s="177"/>
      <c r="Z50" s="145">
        <v>19</v>
      </c>
      <c r="AA50" s="176"/>
      <c r="AB50" s="176"/>
      <c r="AC50" s="176"/>
      <c r="AD50" s="176"/>
      <c r="AE50" s="176"/>
      <c r="AF50" s="177"/>
      <c r="AG50" s="145">
        <v>16</v>
      </c>
      <c r="AH50" s="176"/>
      <c r="AI50" s="176"/>
      <c r="AJ50" s="176"/>
      <c r="AK50" s="176"/>
      <c r="AL50" s="176"/>
      <c r="AM50" s="177"/>
      <c r="AN50" s="68">
        <f t="shared" ref="AN50:AN52" si="29">SUM(E50:AM50)</f>
        <v>92</v>
      </c>
      <c r="AO50" s="21"/>
      <c r="AP50" s="19">
        <f t="shared" si="15"/>
        <v>0</v>
      </c>
      <c r="AQ50" s="19">
        <f t="shared" si="16"/>
        <v>0</v>
      </c>
      <c r="AR50" s="19">
        <f t="shared" si="17"/>
        <v>0</v>
      </c>
      <c r="AS50" s="19">
        <f t="shared" si="18"/>
        <v>0</v>
      </c>
      <c r="AT50" s="19">
        <f t="shared" si="28"/>
        <v>0</v>
      </c>
      <c r="AU50" s="19">
        <f t="shared" si="19"/>
        <v>0</v>
      </c>
      <c r="AV50" s="19">
        <f t="shared" si="20"/>
        <v>0</v>
      </c>
      <c r="AW50" s="19">
        <f t="shared" si="21"/>
        <v>0</v>
      </c>
      <c r="AX50" s="19">
        <f t="shared" si="22"/>
        <v>0</v>
      </c>
      <c r="AY50" s="19">
        <f t="shared" si="23"/>
        <v>0</v>
      </c>
      <c r="AZ50" s="19">
        <f t="shared" si="24"/>
        <v>0</v>
      </c>
      <c r="BA50" s="19">
        <f t="shared" si="25"/>
        <v>0</v>
      </c>
      <c r="BB50" s="19">
        <f t="shared" si="26"/>
        <v>0</v>
      </c>
      <c r="BC50" s="15">
        <f t="shared" si="27"/>
        <v>0</v>
      </c>
      <c r="BD50" s="12"/>
      <c r="BE50" s="12"/>
      <c r="BF50" s="12"/>
      <c r="BG50" s="12"/>
      <c r="BH50" s="12"/>
    </row>
    <row r="51" spans="1:68" ht="28.5" customHeight="1">
      <c r="A51" s="146" t="s">
        <v>86</v>
      </c>
      <c r="B51" s="192"/>
      <c r="C51" s="195"/>
      <c r="D51" s="147">
        <f t="shared" ref="D51:E51" si="30">D26+D50</f>
        <v>190</v>
      </c>
      <c r="E51" s="148">
        <f t="shared" si="30"/>
        <v>36</v>
      </c>
      <c r="F51" s="187"/>
      <c r="G51" s="187"/>
      <c r="H51" s="187"/>
      <c r="I51" s="187"/>
      <c r="J51" s="187"/>
      <c r="K51" s="188"/>
      <c r="L51" s="144">
        <f>L26+L50</f>
        <v>40</v>
      </c>
      <c r="M51" s="183"/>
      <c r="N51" s="183"/>
      <c r="O51" s="183"/>
      <c r="P51" s="183"/>
      <c r="Q51" s="183"/>
      <c r="R51" s="184"/>
      <c r="S51" s="148">
        <f>S26+S50</f>
        <v>39</v>
      </c>
      <c r="T51" s="187"/>
      <c r="U51" s="187"/>
      <c r="V51" s="187"/>
      <c r="W51" s="187"/>
      <c r="X51" s="187"/>
      <c r="Y51" s="188"/>
      <c r="Z51" s="148">
        <f>Z26+Z50</f>
        <v>40</v>
      </c>
      <c r="AA51" s="187"/>
      <c r="AB51" s="187"/>
      <c r="AC51" s="187"/>
      <c r="AD51" s="187"/>
      <c r="AE51" s="187"/>
      <c r="AF51" s="188"/>
      <c r="AG51" s="148">
        <f>AG26+AG50</f>
        <v>35</v>
      </c>
      <c r="AH51" s="187"/>
      <c r="AI51" s="187"/>
      <c r="AJ51" s="187"/>
      <c r="AK51" s="187"/>
      <c r="AL51" s="187"/>
      <c r="AM51" s="188"/>
      <c r="AN51" s="57">
        <f t="shared" si="29"/>
        <v>190</v>
      </c>
      <c r="AO51" s="21"/>
      <c r="AP51" s="15">
        <f t="shared" ref="AP51:BB51" si="31">SUM(AP30:AP50)</f>
        <v>84</v>
      </c>
      <c r="AQ51" s="15">
        <f t="shared" si="31"/>
        <v>50</v>
      </c>
      <c r="AR51" s="15">
        <f t="shared" si="31"/>
        <v>49</v>
      </c>
      <c r="AS51" s="15">
        <f t="shared" si="31"/>
        <v>33</v>
      </c>
      <c r="AT51" s="15">
        <f t="shared" si="31"/>
        <v>38</v>
      </c>
      <c r="AU51" s="15">
        <f t="shared" si="31"/>
        <v>37</v>
      </c>
      <c r="AV51" s="15">
        <f t="shared" si="31"/>
        <v>27</v>
      </c>
      <c r="AW51" s="15">
        <f t="shared" si="31"/>
        <v>29</v>
      </c>
      <c r="AX51" s="15">
        <f t="shared" si="31"/>
        <v>82</v>
      </c>
      <c r="AY51" s="15">
        <f t="shared" si="31"/>
        <v>17</v>
      </c>
      <c r="AZ51" s="15">
        <f t="shared" si="31"/>
        <v>4</v>
      </c>
      <c r="BA51" s="15">
        <f t="shared" si="31"/>
        <v>37</v>
      </c>
      <c r="BB51" s="15">
        <f t="shared" si="31"/>
        <v>41</v>
      </c>
      <c r="BC51" s="15">
        <f t="shared" si="27"/>
        <v>528</v>
      </c>
      <c r="BD51" s="12"/>
      <c r="BE51" s="12"/>
      <c r="BF51" s="12"/>
      <c r="BG51" s="12"/>
      <c r="BH51" s="12"/>
    </row>
    <row r="52" spans="1:68" ht="28.5" customHeight="1">
      <c r="A52" s="196"/>
      <c r="B52" s="197"/>
      <c r="C52" s="198"/>
      <c r="D52" s="181"/>
      <c r="E52" s="149">
        <f>E51*5</f>
        <v>180</v>
      </c>
      <c r="F52" s="199"/>
      <c r="G52" s="199"/>
      <c r="H52" s="199"/>
      <c r="I52" s="199"/>
      <c r="J52" s="199"/>
      <c r="K52" s="200"/>
      <c r="L52" s="150">
        <f>L51*7-7</f>
        <v>273</v>
      </c>
      <c r="M52" s="197"/>
      <c r="N52" s="197"/>
      <c r="O52" s="197"/>
      <c r="P52" s="197"/>
      <c r="Q52" s="197"/>
      <c r="R52" s="182"/>
      <c r="S52" s="149">
        <f>S51*5</f>
        <v>195</v>
      </c>
      <c r="T52" s="199"/>
      <c r="U52" s="199"/>
      <c r="V52" s="199"/>
      <c r="W52" s="199"/>
      <c r="X52" s="199"/>
      <c r="Y52" s="200"/>
      <c r="Z52" s="149">
        <f>Z51*5-1</f>
        <v>199</v>
      </c>
      <c r="AA52" s="199"/>
      <c r="AB52" s="199"/>
      <c r="AC52" s="199"/>
      <c r="AD52" s="199"/>
      <c r="AE52" s="199"/>
      <c r="AF52" s="200"/>
      <c r="AG52" s="149">
        <f>AG51*7-3</f>
        <v>242</v>
      </c>
      <c r="AH52" s="199"/>
      <c r="AI52" s="199"/>
      <c r="AJ52" s="199"/>
      <c r="AK52" s="199"/>
      <c r="AL52" s="199"/>
      <c r="AM52" s="200"/>
      <c r="AN52" s="58">
        <f t="shared" si="29"/>
        <v>1089</v>
      </c>
      <c r="AO52" s="21"/>
      <c r="AP52" s="25">
        <f t="shared" ref="AP52:BC52" si="32">SUM(AP26+AP51)</f>
        <v>170</v>
      </c>
      <c r="AQ52" s="25">
        <f t="shared" si="32"/>
        <v>103</v>
      </c>
      <c r="AR52" s="25">
        <f t="shared" si="32"/>
        <v>102</v>
      </c>
      <c r="AS52" s="25">
        <f t="shared" si="32"/>
        <v>68</v>
      </c>
      <c r="AT52" s="25">
        <f t="shared" si="32"/>
        <v>68</v>
      </c>
      <c r="AU52" s="25">
        <f t="shared" si="32"/>
        <v>85</v>
      </c>
      <c r="AV52" s="25">
        <f t="shared" si="32"/>
        <v>59</v>
      </c>
      <c r="AW52" s="25">
        <f t="shared" si="32"/>
        <v>60</v>
      </c>
      <c r="AX52" s="25">
        <f t="shared" si="32"/>
        <v>162</v>
      </c>
      <c r="AY52" s="25">
        <f t="shared" si="32"/>
        <v>34</v>
      </c>
      <c r="AZ52" s="25">
        <f t="shared" si="32"/>
        <v>8</v>
      </c>
      <c r="BA52" s="25">
        <f t="shared" si="32"/>
        <v>85</v>
      </c>
      <c r="BB52" s="25">
        <f t="shared" si="32"/>
        <v>85</v>
      </c>
      <c r="BC52" s="25">
        <f t="shared" si="32"/>
        <v>1089</v>
      </c>
      <c r="BD52" s="12"/>
      <c r="BE52" s="12"/>
      <c r="BF52" s="12"/>
      <c r="BG52" s="12"/>
      <c r="BH52" s="12"/>
    </row>
    <row r="53" spans="1:68" ht="15.75" customHeight="1">
      <c r="A53" s="10"/>
      <c r="B53" s="10"/>
      <c r="C53" s="24"/>
      <c r="D53" s="10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  <c r="AJ53" s="24"/>
      <c r="AK53" s="24"/>
      <c r="AL53" s="24"/>
      <c r="AM53" s="24"/>
      <c r="AN53" s="24"/>
      <c r="AO53" s="24"/>
      <c r="AP53" s="24"/>
      <c r="AQ53" s="24"/>
      <c r="AR53" s="24"/>
      <c r="AS53" s="24"/>
      <c r="AT53" s="24"/>
      <c r="AU53" s="24"/>
      <c r="AV53" s="24"/>
      <c r="AW53" s="24"/>
      <c r="AX53" s="24"/>
      <c r="AY53" s="24"/>
      <c r="AZ53" s="24"/>
      <c r="BA53" s="12"/>
      <c r="BB53" s="12"/>
      <c r="BC53" s="12"/>
      <c r="BD53" s="12"/>
      <c r="BE53" s="12"/>
      <c r="BF53" s="12"/>
      <c r="BG53" s="12"/>
    </row>
    <row r="54" spans="1:68" ht="21" customHeight="1">
      <c r="A54" s="3"/>
      <c r="B54" s="3"/>
      <c r="C54" s="3"/>
      <c r="D54" s="151" t="s">
        <v>87</v>
      </c>
      <c r="E54" s="152" t="s">
        <v>88</v>
      </c>
      <c r="F54" s="201"/>
      <c r="G54" s="202"/>
      <c r="H54" s="152" t="s">
        <v>89</v>
      </c>
      <c r="I54" s="201"/>
      <c r="J54" s="202"/>
      <c r="K54" s="152" t="s">
        <v>90</v>
      </c>
      <c r="L54" s="201"/>
      <c r="M54" s="202"/>
      <c r="N54" s="152" t="s">
        <v>91</v>
      </c>
      <c r="O54" s="201"/>
      <c r="P54" s="202"/>
      <c r="Q54" s="152" t="s">
        <v>92</v>
      </c>
      <c r="R54" s="201"/>
      <c r="S54" s="202"/>
      <c r="T54" s="152" t="s">
        <v>93</v>
      </c>
      <c r="U54" s="201"/>
      <c r="V54" s="202"/>
      <c r="W54" s="152" t="s">
        <v>94</v>
      </c>
      <c r="X54" s="201"/>
      <c r="Y54" s="202"/>
      <c r="Z54" s="152" t="s">
        <v>95</v>
      </c>
      <c r="AA54" s="201"/>
      <c r="AB54" s="202"/>
      <c r="AC54" s="153" t="s">
        <v>96</v>
      </c>
      <c r="AD54" s="203"/>
      <c r="AE54" s="203"/>
      <c r="AF54" s="203"/>
      <c r="AG54" s="203"/>
      <c r="AH54" s="204"/>
      <c r="AI54" s="154" t="s">
        <v>97</v>
      </c>
      <c r="AJ54" s="203"/>
      <c r="AK54" s="203"/>
      <c r="AL54" s="204"/>
      <c r="AM54" s="155" t="s">
        <v>28</v>
      </c>
      <c r="AN54" s="202"/>
      <c r="AO54" s="156" t="s">
        <v>98</v>
      </c>
      <c r="AP54" s="205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</row>
    <row r="55" spans="1:68" ht="21" customHeight="1">
      <c r="A55" s="3"/>
      <c r="B55" s="3"/>
      <c r="C55" s="3"/>
      <c r="D55" s="206"/>
      <c r="E55" s="207"/>
      <c r="F55" s="208"/>
      <c r="G55" s="209"/>
      <c r="H55" s="207"/>
      <c r="I55" s="208"/>
      <c r="J55" s="209"/>
      <c r="K55" s="207"/>
      <c r="L55" s="208"/>
      <c r="M55" s="209"/>
      <c r="N55" s="207"/>
      <c r="O55" s="208"/>
      <c r="P55" s="209"/>
      <c r="Q55" s="207"/>
      <c r="R55" s="208"/>
      <c r="S55" s="209"/>
      <c r="T55" s="207"/>
      <c r="U55" s="208"/>
      <c r="V55" s="209"/>
      <c r="W55" s="207"/>
      <c r="X55" s="208"/>
      <c r="Y55" s="209"/>
      <c r="Z55" s="207"/>
      <c r="AA55" s="208"/>
      <c r="AB55" s="209"/>
      <c r="AC55" s="157" t="s">
        <v>99</v>
      </c>
      <c r="AD55" s="210"/>
      <c r="AE55" s="157" t="s">
        <v>100</v>
      </c>
      <c r="AF55" s="210"/>
      <c r="AG55" s="158" t="s">
        <v>101</v>
      </c>
      <c r="AH55" s="210"/>
      <c r="AI55" s="159" t="s">
        <v>102</v>
      </c>
      <c r="AJ55" s="210"/>
      <c r="AK55" s="158" t="s">
        <v>103</v>
      </c>
      <c r="AL55" s="211"/>
      <c r="AM55" s="207"/>
      <c r="AN55" s="209"/>
      <c r="AO55" s="212"/>
      <c r="AP55" s="21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</row>
    <row r="56" spans="1:68" ht="21" customHeight="1">
      <c r="A56" s="3"/>
      <c r="B56" s="3"/>
      <c r="C56" s="3"/>
      <c r="D56" s="39" t="s">
        <v>104</v>
      </c>
      <c r="E56" s="160">
        <v>170</v>
      </c>
      <c r="F56" s="214"/>
      <c r="G56" s="210"/>
      <c r="H56" s="160">
        <v>102</v>
      </c>
      <c r="I56" s="214"/>
      <c r="J56" s="210"/>
      <c r="K56" s="160">
        <v>102</v>
      </c>
      <c r="L56" s="214"/>
      <c r="M56" s="210"/>
      <c r="N56" s="160">
        <v>68</v>
      </c>
      <c r="O56" s="214"/>
      <c r="P56" s="210"/>
      <c r="Q56" s="160">
        <v>68</v>
      </c>
      <c r="R56" s="214"/>
      <c r="S56" s="210"/>
      <c r="T56" s="160">
        <v>85</v>
      </c>
      <c r="U56" s="214"/>
      <c r="V56" s="210"/>
      <c r="W56" s="160">
        <v>59</v>
      </c>
      <c r="X56" s="214"/>
      <c r="Y56" s="210"/>
      <c r="Z56" s="160">
        <v>60</v>
      </c>
      <c r="AA56" s="214"/>
      <c r="AB56" s="210"/>
      <c r="AC56" s="160">
        <v>162</v>
      </c>
      <c r="AD56" s="210"/>
      <c r="AE56" s="160">
        <v>34</v>
      </c>
      <c r="AF56" s="210"/>
      <c r="AG56" s="160">
        <v>8</v>
      </c>
      <c r="AH56" s="210"/>
      <c r="AI56" s="160">
        <v>85</v>
      </c>
      <c r="AJ56" s="210"/>
      <c r="AK56" s="160">
        <v>85</v>
      </c>
      <c r="AL56" s="210"/>
      <c r="AM56" s="160">
        <f t="shared" ref="AM56:AM58" si="33">SUM(E56:AL56)</f>
        <v>1088</v>
      </c>
      <c r="AN56" s="210"/>
      <c r="AO56" s="212"/>
      <c r="AP56" s="21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</row>
    <row r="57" spans="1:68" ht="21" customHeight="1">
      <c r="A57" s="3"/>
      <c r="B57" s="3"/>
      <c r="C57" s="3"/>
      <c r="D57" s="32" t="s">
        <v>105</v>
      </c>
      <c r="E57" s="161">
        <f>COUNTIF($E$5:$AM$25,"=국")</f>
        <v>86</v>
      </c>
      <c r="F57" s="187"/>
      <c r="G57" s="215"/>
      <c r="H57" s="161">
        <f>COUNTIF($E$5:$AM$25,"=수")</f>
        <v>53</v>
      </c>
      <c r="I57" s="187"/>
      <c r="J57" s="215"/>
      <c r="K57" s="161">
        <f>COUNTIF($E$5:$AM$25,"=사")</f>
        <v>53</v>
      </c>
      <c r="L57" s="187"/>
      <c r="M57" s="215"/>
      <c r="N57" s="162">
        <f>COUNTIF($E$5:$AM$25,"=과")</f>
        <v>35</v>
      </c>
      <c r="O57" s="216"/>
      <c r="P57" s="217"/>
      <c r="Q57" s="161">
        <f>COUNTIF($E$5:$AM$25,"=실")</f>
        <v>30</v>
      </c>
      <c r="R57" s="187"/>
      <c r="S57" s="215"/>
      <c r="T57" s="162">
        <f>COUNTIF($E$5:$AM$25,"=체")</f>
        <v>48</v>
      </c>
      <c r="U57" s="216"/>
      <c r="V57" s="217"/>
      <c r="W57" s="162">
        <f>COUNTIF($E$5:$AM$25,"=음")</f>
        <v>32</v>
      </c>
      <c r="X57" s="216"/>
      <c r="Y57" s="217"/>
      <c r="Z57" s="162">
        <f>COUNTIF($E$5:$AM$25,"=미")</f>
        <v>31</v>
      </c>
      <c r="AA57" s="216"/>
      <c r="AB57" s="217"/>
      <c r="AC57" s="161">
        <f>COUNTIF($E$5:$AM$25,"=자")</f>
        <v>80</v>
      </c>
      <c r="AD57" s="215"/>
      <c r="AE57" s="161">
        <f>COUNTIF($E$5:$AM$25,"=동")</f>
        <v>17</v>
      </c>
      <c r="AF57" s="215"/>
      <c r="AG57" s="161">
        <f>COUNTIF($E$5:$AM$25,"=진")</f>
        <v>4</v>
      </c>
      <c r="AH57" s="215"/>
      <c r="AI57" s="161">
        <f>COUNTIF($E$5:$AM$25,"=의")</f>
        <v>48</v>
      </c>
      <c r="AJ57" s="215"/>
      <c r="AK57" s="161">
        <f>COUNTIF($E$5:$AM$25,"=선")</f>
        <v>44</v>
      </c>
      <c r="AL57" s="215"/>
      <c r="AM57" s="161">
        <f t="shared" si="33"/>
        <v>561</v>
      </c>
      <c r="AN57" s="215"/>
      <c r="AO57" s="212"/>
      <c r="AP57" s="21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</row>
    <row r="58" spans="1:68" ht="21" customHeight="1">
      <c r="A58" s="3"/>
      <c r="B58" s="3"/>
      <c r="C58" s="3"/>
      <c r="D58" s="32" t="s">
        <v>106</v>
      </c>
      <c r="E58" s="161">
        <f>COUNTIF($E$30:$AM$49,"=국")</f>
        <v>84</v>
      </c>
      <c r="F58" s="187"/>
      <c r="G58" s="215"/>
      <c r="H58" s="161">
        <f>COUNTIF($E$30:$AM$49,"=수")</f>
        <v>50</v>
      </c>
      <c r="I58" s="187"/>
      <c r="J58" s="215"/>
      <c r="K58" s="161">
        <f>COUNTIF($E$30:$AM$49,"=사")</f>
        <v>49</v>
      </c>
      <c r="L58" s="187"/>
      <c r="M58" s="215"/>
      <c r="N58" s="162">
        <f>COUNTIF($E$30:$AM$49,"=과")</f>
        <v>33</v>
      </c>
      <c r="O58" s="216"/>
      <c r="P58" s="217"/>
      <c r="Q58" s="161">
        <f>COUNTIF($E$30:$AM$49,"=실")</f>
        <v>38</v>
      </c>
      <c r="R58" s="187"/>
      <c r="S58" s="215"/>
      <c r="T58" s="162">
        <f>COUNTIF($E$30:$AM$49,"=체")</f>
        <v>37</v>
      </c>
      <c r="U58" s="216"/>
      <c r="V58" s="217"/>
      <c r="W58" s="162">
        <f>COUNTIF($E$30:$AM$49,"=음")</f>
        <v>27</v>
      </c>
      <c r="X58" s="216"/>
      <c r="Y58" s="217"/>
      <c r="Z58" s="162">
        <f>COUNTIF($E$30:$AM$49,"=미")</f>
        <v>29</v>
      </c>
      <c r="AA58" s="216"/>
      <c r="AB58" s="217"/>
      <c r="AC58" s="161">
        <f>COUNTIF($E$30:$AM$49,"=자")</f>
        <v>82</v>
      </c>
      <c r="AD58" s="215"/>
      <c r="AE58" s="161">
        <f>COUNTIF($E$30:$AM$49,"=동")</f>
        <v>17</v>
      </c>
      <c r="AF58" s="215"/>
      <c r="AG58" s="161">
        <f>COUNTIF($E$30:$AM$49,"=진")</f>
        <v>4</v>
      </c>
      <c r="AH58" s="215"/>
      <c r="AI58" s="161">
        <f>COUNTIF($E$30:$AM$49,"=의")</f>
        <v>37</v>
      </c>
      <c r="AJ58" s="215"/>
      <c r="AK58" s="161">
        <f>COUNTIF($E$30:$AM$49,"=선")</f>
        <v>41</v>
      </c>
      <c r="AL58" s="215"/>
      <c r="AM58" s="161">
        <f t="shared" si="33"/>
        <v>528</v>
      </c>
      <c r="AN58" s="215"/>
      <c r="AO58" s="212"/>
      <c r="AP58" s="21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</row>
    <row r="59" spans="1:68" ht="21" customHeight="1">
      <c r="A59" s="3"/>
      <c r="B59" s="3"/>
      <c r="C59" s="3"/>
      <c r="D59" s="31" t="s">
        <v>12</v>
      </c>
      <c r="E59" s="163">
        <f>SUM(E57:G58)</f>
        <v>170</v>
      </c>
      <c r="F59" s="187"/>
      <c r="G59" s="215"/>
      <c r="H59" s="163">
        <f>SUM(H57:J58)</f>
        <v>103</v>
      </c>
      <c r="I59" s="187"/>
      <c r="J59" s="215"/>
      <c r="K59" s="163">
        <f>SUM(K57:M58)</f>
        <v>102</v>
      </c>
      <c r="L59" s="187"/>
      <c r="M59" s="215"/>
      <c r="N59" s="163">
        <f>SUM(N57:P58)</f>
        <v>68</v>
      </c>
      <c r="O59" s="187"/>
      <c r="P59" s="215"/>
      <c r="Q59" s="163">
        <f>SUM(Q57:S58)</f>
        <v>68</v>
      </c>
      <c r="R59" s="187"/>
      <c r="S59" s="215"/>
      <c r="T59" s="163">
        <f>SUM(T57:V58)</f>
        <v>85</v>
      </c>
      <c r="U59" s="187"/>
      <c r="V59" s="215"/>
      <c r="W59" s="163">
        <f>SUM(W57:Y58)</f>
        <v>59</v>
      </c>
      <c r="X59" s="187"/>
      <c r="Y59" s="215"/>
      <c r="Z59" s="163">
        <f>SUM(Z57:AB58)</f>
        <v>60</v>
      </c>
      <c r="AA59" s="187"/>
      <c r="AB59" s="215"/>
      <c r="AC59" s="163">
        <f>SUM(AC57:AD58)</f>
        <v>162</v>
      </c>
      <c r="AD59" s="215"/>
      <c r="AE59" s="163">
        <f>SUM(AE57:AF58)</f>
        <v>34</v>
      </c>
      <c r="AF59" s="215"/>
      <c r="AG59" s="163">
        <f>SUM(AG57:AH58)</f>
        <v>8</v>
      </c>
      <c r="AH59" s="215"/>
      <c r="AI59" s="163">
        <f>SUM(AI57:AJ58)</f>
        <v>85</v>
      </c>
      <c r="AJ59" s="215"/>
      <c r="AK59" s="163">
        <f>SUM(AK57:AL58)</f>
        <v>85</v>
      </c>
      <c r="AL59" s="215"/>
      <c r="AM59" s="163">
        <f>SUM(AM57:AN58)</f>
        <v>1089</v>
      </c>
      <c r="AN59" s="215"/>
      <c r="AO59" s="212"/>
      <c r="AP59" s="21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</row>
    <row r="60" spans="1:68" ht="31.5" customHeight="1">
      <c r="A60" s="3"/>
      <c r="B60" s="3"/>
      <c r="C60" s="3"/>
      <c r="D60" s="33" t="s">
        <v>107</v>
      </c>
      <c r="E60" s="165">
        <f>SUM(E59-E56)</f>
        <v>0</v>
      </c>
      <c r="F60" s="199"/>
      <c r="G60" s="218"/>
      <c r="H60" s="165">
        <f>SUM(H59-H56)</f>
        <v>1</v>
      </c>
      <c r="I60" s="199"/>
      <c r="J60" s="218"/>
      <c r="K60" s="165">
        <f>SUM(K59-K56)</f>
        <v>0</v>
      </c>
      <c r="L60" s="199"/>
      <c r="M60" s="218"/>
      <c r="N60" s="165">
        <f>SUM(N59-N56)</f>
        <v>0</v>
      </c>
      <c r="O60" s="199"/>
      <c r="P60" s="218"/>
      <c r="Q60" s="165">
        <f>SUM(Q59-Q56)</f>
        <v>0</v>
      </c>
      <c r="R60" s="199"/>
      <c r="S60" s="218"/>
      <c r="T60" s="165">
        <f>SUM(T59-T56)</f>
        <v>0</v>
      </c>
      <c r="U60" s="199"/>
      <c r="V60" s="218"/>
      <c r="W60" s="165">
        <f>SUM(W59-W56)</f>
        <v>0</v>
      </c>
      <c r="X60" s="199"/>
      <c r="Y60" s="218"/>
      <c r="Z60" s="165">
        <f>SUM(Z59-Z56)</f>
        <v>0</v>
      </c>
      <c r="AA60" s="199"/>
      <c r="AB60" s="218"/>
      <c r="AC60" s="165">
        <f>SUM(AC59-AC56)</f>
        <v>0</v>
      </c>
      <c r="AD60" s="218"/>
      <c r="AE60" s="165">
        <f>SUM(AE59-AE56)</f>
        <v>0</v>
      </c>
      <c r="AF60" s="218"/>
      <c r="AG60" s="165">
        <f>SUM(AG59-AG56)</f>
        <v>0</v>
      </c>
      <c r="AH60" s="218"/>
      <c r="AI60" s="165">
        <f>AI59-AI56</f>
        <v>0</v>
      </c>
      <c r="AJ60" s="218"/>
      <c r="AK60" s="165">
        <f>AK59-AK56</f>
        <v>0</v>
      </c>
      <c r="AL60" s="218"/>
      <c r="AM60" s="165">
        <f>SUM(E60:AL60)</f>
        <v>1</v>
      </c>
      <c r="AN60" s="218"/>
      <c r="AO60" s="164" t="str">
        <f>IF(AN52=AM59,"OK","FALSE")</f>
        <v>OK</v>
      </c>
      <c r="AP60" s="182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</row>
    <row r="61" spans="1:68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</row>
    <row r="62" spans="1:68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</row>
    <row r="63" spans="1:68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</row>
    <row r="64" spans="1:68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</row>
    <row r="65" spans="1:59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</row>
    <row r="66" spans="1:59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</row>
    <row r="67" spans="1:59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</row>
    <row r="68" spans="1:59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</row>
    <row r="69" spans="1:5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</row>
    <row r="70" spans="1:59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</row>
    <row r="71" spans="1:59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</row>
    <row r="72" spans="1:59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</row>
    <row r="73" spans="1:59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</row>
    <row r="74" spans="1:59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</row>
    <row r="75" spans="1:59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</row>
    <row r="76" spans="1:59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</row>
    <row r="77" spans="1:59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</row>
    <row r="78" spans="1:59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</row>
    <row r="79" spans="1:5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</row>
    <row r="80" spans="1:59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</row>
    <row r="81" spans="1:59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</row>
    <row r="82" spans="1:59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</row>
    <row r="83" spans="1:59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</row>
    <row r="84" spans="1:59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</row>
    <row r="85" spans="1:59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</row>
    <row r="86" spans="1:59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</row>
    <row r="87" spans="1:59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</row>
    <row r="88" spans="1:59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</row>
    <row r="89" spans="1:5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</row>
    <row r="90" spans="1:59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</row>
    <row r="91" spans="1:59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</row>
    <row r="92" spans="1:59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</row>
    <row r="93" spans="1:59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</row>
    <row r="94" spans="1:59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</row>
    <row r="95" spans="1:59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</row>
    <row r="96" spans="1:59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</row>
    <row r="97" spans="1:59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</row>
    <row r="98" spans="1:59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</row>
    <row r="99" spans="1:5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</row>
    <row r="100" spans="1:59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</row>
    <row r="101" spans="1:59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</row>
    <row r="102" spans="1:59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</row>
    <row r="103" spans="1:59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</row>
    <row r="104" spans="1:59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</row>
    <row r="105" spans="1:59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</row>
    <row r="106" spans="1:59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</row>
    <row r="107" spans="1:59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</row>
    <row r="108" spans="1:59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</row>
    <row r="109" spans="1:5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</row>
    <row r="110" spans="1:59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</row>
    <row r="111" spans="1:59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</row>
    <row r="112" spans="1:59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</row>
    <row r="113" spans="1:59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</row>
    <row r="114" spans="1:59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</row>
    <row r="115" spans="1:59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</row>
    <row r="116" spans="1:59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</row>
    <row r="117" spans="1:59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</row>
    <row r="118" spans="1:59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</row>
    <row r="119" spans="1:5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</row>
    <row r="120" spans="1:59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</row>
    <row r="121" spans="1:59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</row>
    <row r="122" spans="1:59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</row>
    <row r="123" spans="1:59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</row>
    <row r="124" spans="1:59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</row>
    <row r="125" spans="1:59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</row>
    <row r="126" spans="1:59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</row>
    <row r="127" spans="1:59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</row>
    <row r="128" spans="1:59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</row>
    <row r="129" spans="1:5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</row>
    <row r="130" spans="1:59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</row>
    <row r="131" spans="1:59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</row>
    <row r="132" spans="1:59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</row>
    <row r="133" spans="1:59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</row>
    <row r="134" spans="1:59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</row>
    <row r="135" spans="1:59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</row>
    <row r="136" spans="1:59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</row>
    <row r="137" spans="1:59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</row>
    <row r="138" spans="1:59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</row>
    <row r="139" spans="1:5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</row>
    <row r="140" spans="1:59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</row>
    <row r="141" spans="1:59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</row>
    <row r="142" spans="1:59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</row>
    <row r="143" spans="1:59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</row>
    <row r="144" spans="1:59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</row>
    <row r="145" spans="1:59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</row>
    <row r="146" spans="1:59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</row>
    <row r="147" spans="1:59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</row>
    <row r="148" spans="1:59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</row>
    <row r="149" spans="1:5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</row>
    <row r="150" spans="1:59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</row>
    <row r="151" spans="1:59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</row>
    <row r="152" spans="1:59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</row>
    <row r="153" spans="1:59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</row>
    <row r="154" spans="1:59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</row>
    <row r="155" spans="1:59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</row>
    <row r="156" spans="1:59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</row>
    <row r="157" spans="1:59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</row>
    <row r="158" spans="1:59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</row>
    <row r="159" spans="1: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</row>
    <row r="160" spans="1:59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</row>
    <row r="161" spans="1:59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</row>
    <row r="162" spans="1:59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</row>
    <row r="163" spans="1:59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</row>
    <row r="164" spans="1:59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</row>
    <row r="165" spans="1:59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</row>
    <row r="166" spans="1:59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</row>
    <row r="167" spans="1:59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</row>
    <row r="168" spans="1:59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</row>
    <row r="169" spans="1:5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</row>
    <row r="170" spans="1:59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</row>
    <row r="171" spans="1:59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</row>
    <row r="172" spans="1:59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</row>
    <row r="173" spans="1:59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</row>
    <row r="174" spans="1:59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</row>
    <row r="175" spans="1:59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</row>
    <row r="176" spans="1:59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</row>
    <row r="177" spans="1:59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</row>
    <row r="178" spans="1:59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</row>
    <row r="179" spans="1:5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</row>
    <row r="180" spans="1:59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</row>
    <row r="181" spans="1:59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</row>
    <row r="182" spans="1:59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</row>
    <row r="183" spans="1:59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</row>
    <row r="184" spans="1:59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</row>
    <row r="185" spans="1:59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</row>
    <row r="186" spans="1:59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</row>
    <row r="187" spans="1:59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</row>
    <row r="188" spans="1:59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</row>
    <row r="189" spans="1:5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</row>
    <row r="190" spans="1:59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</row>
    <row r="191" spans="1:59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</row>
    <row r="192" spans="1:59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</row>
    <row r="193" spans="1:59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</row>
    <row r="194" spans="1:59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</row>
    <row r="195" spans="1:59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</row>
    <row r="196" spans="1:59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</row>
    <row r="197" spans="1:59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</row>
    <row r="198" spans="1:59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</row>
    <row r="199" spans="1:5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</row>
    <row r="200" spans="1:59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</row>
    <row r="201" spans="1:59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</row>
    <row r="202" spans="1:59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</row>
    <row r="203" spans="1:59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</row>
    <row r="204" spans="1:59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</row>
    <row r="205" spans="1:59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</row>
    <row r="206" spans="1:59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</row>
    <row r="207" spans="1:59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</row>
    <row r="208" spans="1:59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</row>
    <row r="209" spans="1:5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</row>
    <row r="210" spans="1:59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</row>
    <row r="211" spans="1:59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</row>
    <row r="212" spans="1:59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</row>
    <row r="213" spans="1:59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</row>
    <row r="214" spans="1:59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</row>
    <row r="215" spans="1:59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</row>
    <row r="216" spans="1:59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</row>
    <row r="217" spans="1:59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</row>
    <row r="218" spans="1:59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</row>
    <row r="219" spans="1:5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</row>
    <row r="220" spans="1:59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</row>
    <row r="221" spans="1:59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</row>
    <row r="222" spans="1:59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</row>
    <row r="223" spans="1:59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</row>
    <row r="224" spans="1:59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</row>
    <row r="225" spans="1:59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</row>
    <row r="226" spans="1:59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</row>
    <row r="227" spans="1:59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</row>
    <row r="228" spans="1:59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</row>
    <row r="229" spans="1:5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</row>
    <row r="230" spans="1:59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</row>
    <row r="231" spans="1:59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</row>
    <row r="232" spans="1:59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</row>
    <row r="233" spans="1:59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</row>
    <row r="234" spans="1:59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</row>
    <row r="235" spans="1:59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</row>
    <row r="236" spans="1:59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</row>
    <row r="237" spans="1:59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</row>
    <row r="238" spans="1:59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</row>
    <row r="239" spans="1:5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</row>
    <row r="240" spans="1:59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</row>
    <row r="241" spans="1:59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</row>
    <row r="242" spans="1:59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</row>
    <row r="243" spans="1:59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</row>
    <row r="244" spans="1:59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</row>
    <row r="245" spans="1:59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</row>
    <row r="246" spans="1:59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</row>
    <row r="247" spans="1:59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</row>
    <row r="248" spans="1:59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</row>
    <row r="249" spans="1:5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</row>
    <row r="250" spans="1:59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</row>
    <row r="251" spans="1:59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</row>
    <row r="252" spans="1:59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</row>
    <row r="253" spans="1:59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</row>
    <row r="254" spans="1:59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</row>
    <row r="255" spans="1:59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</row>
    <row r="256" spans="1:59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</row>
    <row r="257" spans="1:59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</row>
    <row r="258" spans="1:59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</row>
    <row r="259" spans="1: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</row>
    <row r="260" spans="1:59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</row>
    <row r="261" spans="1:59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</row>
    <row r="262" spans="1:59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</row>
    <row r="263" spans="1:59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</row>
    <row r="264" spans="1:59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</row>
    <row r="265" spans="1:59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</row>
    <row r="266" spans="1:59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</row>
    <row r="267" spans="1:59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</row>
    <row r="268" spans="1:59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</row>
    <row r="269" spans="1:5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</row>
    <row r="270" spans="1:59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</row>
    <row r="271" spans="1:59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</row>
    <row r="272" spans="1:59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</row>
    <row r="273" spans="1:59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</row>
    <row r="274" spans="1:59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</row>
    <row r="275" spans="1:59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</row>
    <row r="276" spans="1:59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</row>
    <row r="277" spans="1:59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</row>
    <row r="278" spans="1:59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</row>
    <row r="279" spans="1:5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</row>
    <row r="280" spans="1:59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</row>
    <row r="281" spans="1:59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</row>
    <row r="282" spans="1:59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</row>
    <row r="283" spans="1:59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</row>
    <row r="284" spans="1:59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</row>
    <row r="285" spans="1:59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</row>
    <row r="286" spans="1:59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</row>
    <row r="287" spans="1:59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</row>
    <row r="288" spans="1:59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</row>
    <row r="289" spans="1:5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</row>
    <row r="290" spans="1:59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</row>
    <row r="291" spans="1:59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</row>
    <row r="292" spans="1:59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</row>
    <row r="293" spans="1:59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</row>
    <row r="294" spans="1:59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</row>
    <row r="295" spans="1:59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</row>
    <row r="296" spans="1:59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</row>
    <row r="297" spans="1:59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</row>
    <row r="298" spans="1:59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</row>
    <row r="299" spans="1:5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</row>
    <row r="300" spans="1:59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</row>
    <row r="301" spans="1:59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</row>
    <row r="302" spans="1:59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</row>
    <row r="303" spans="1:59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</row>
    <row r="304" spans="1:59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</row>
    <row r="305" spans="1:59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</row>
    <row r="306" spans="1:59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</row>
    <row r="307" spans="1:59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</row>
    <row r="308" spans="1:59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</row>
    <row r="309" spans="1:5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</row>
    <row r="310" spans="1:59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</row>
    <row r="311" spans="1:59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</row>
    <row r="312" spans="1:59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</row>
    <row r="313" spans="1:59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</row>
    <row r="314" spans="1:59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</row>
    <row r="315" spans="1:59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</row>
    <row r="316" spans="1:59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</row>
    <row r="317" spans="1:59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</row>
    <row r="318" spans="1:59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</row>
    <row r="319" spans="1:5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</row>
    <row r="320" spans="1:59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</row>
    <row r="321" spans="1:59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</row>
    <row r="322" spans="1:59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</row>
    <row r="323" spans="1:59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</row>
    <row r="324" spans="1:59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</row>
    <row r="325" spans="1:59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</row>
    <row r="326" spans="1:59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</row>
    <row r="327" spans="1:59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</row>
    <row r="328" spans="1:59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</row>
    <row r="329" spans="1:5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</row>
    <row r="330" spans="1:59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</row>
    <row r="331" spans="1:59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</row>
    <row r="332" spans="1:59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</row>
    <row r="333" spans="1:59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</row>
    <row r="334" spans="1:59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</row>
    <row r="335" spans="1:59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</row>
    <row r="336" spans="1:59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</row>
    <row r="337" spans="1:59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</row>
    <row r="338" spans="1:59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</row>
    <row r="339" spans="1:5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</row>
    <row r="340" spans="1:59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</row>
    <row r="341" spans="1:59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</row>
    <row r="342" spans="1:59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</row>
    <row r="343" spans="1:59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</row>
    <row r="344" spans="1:59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</row>
    <row r="345" spans="1:59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</row>
    <row r="346" spans="1:59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</row>
    <row r="347" spans="1:59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</row>
    <row r="348" spans="1:59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</row>
    <row r="349" spans="1:5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</row>
    <row r="350" spans="1:59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</row>
    <row r="351" spans="1:59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</row>
    <row r="352" spans="1:59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</row>
    <row r="353" spans="1:59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</row>
    <row r="354" spans="1:59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</row>
    <row r="355" spans="1:59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</row>
    <row r="356" spans="1:59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</row>
    <row r="357" spans="1:59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</row>
    <row r="358" spans="1:59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</row>
    <row r="359" spans="1: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</row>
    <row r="360" spans="1:59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</row>
    <row r="361" spans="1:59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</row>
    <row r="362" spans="1:59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</row>
    <row r="363" spans="1:59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</row>
    <row r="364" spans="1:59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</row>
    <row r="365" spans="1:59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</row>
    <row r="366" spans="1:59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</row>
    <row r="367" spans="1:59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</row>
    <row r="368" spans="1:59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</row>
    <row r="369" spans="1:5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</row>
    <row r="370" spans="1:59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</row>
    <row r="371" spans="1:59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</row>
    <row r="372" spans="1:59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</row>
    <row r="373" spans="1:59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</row>
    <row r="374" spans="1:59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</row>
    <row r="375" spans="1:59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</row>
    <row r="376" spans="1:59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</row>
    <row r="377" spans="1:59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</row>
    <row r="378" spans="1:59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</row>
    <row r="379" spans="1:5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</row>
    <row r="380" spans="1:59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</row>
    <row r="381" spans="1:59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</row>
    <row r="382" spans="1:59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</row>
    <row r="383" spans="1:59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</row>
    <row r="384" spans="1:59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</row>
    <row r="385" spans="1:59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</row>
    <row r="386" spans="1:59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</row>
    <row r="387" spans="1:59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</row>
    <row r="388" spans="1:59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</row>
    <row r="389" spans="1:5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</row>
    <row r="390" spans="1:59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</row>
    <row r="391" spans="1:59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</row>
    <row r="392" spans="1:59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</row>
    <row r="393" spans="1:59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</row>
    <row r="394" spans="1:59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</row>
    <row r="395" spans="1:59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</row>
    <row r="396" spans="1:59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</row>
    <row r="397" spans="1:59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</row>
    <row r="398" spans="1:59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</row>
    <row r="399" spans="1:5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</row>
    <row r="400" spans="1:59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</row>
    <row r="401" spans="1:59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</row>
    <row r="402" spans="1:59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</row>
    <row r="403" spans="1:59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</row>
    <row r="404" spans="1:59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</row>
    <row r="405" spans="1:59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</row>
    <row r="406" spans="1:59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</row>
    <row r="407" spans="1:59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</row>
    <row r="408" spans="1:59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</row>
    <row r="409" spans="1:5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</row>
    <row r="410" spans="1:59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</row>
    <row r="411" spans="1:59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</row>
    <row r="412" spans="1:59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</row>
    <row r="413" spans="1:59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</row>
    <row r="414" spans="1:59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</row>
    <row r="415" spans="1:59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</row>
    <row r="416" spans="1:59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</row>
    <row r="417" spans="1:59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</row>
    <row r="418" spans="1:59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</row>
    <row r="419" spans="1:5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</row>
    <row r="420" spans="1:59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</row>
    <row r="421" spans="1:59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</row>
    <row r="422" spans="1:59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</row>
    <row r="423" spans="1:59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</row>
    <row r="424" spans="1:59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</row>
    <row r="425" spans="1:59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</row>
    <row r="426" spans="1:59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</row>
    <row r="427" spans="1:59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</row>
    <row r="428" spans="1:59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</row>
    <row r="429" spans="1:5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</row>
    <row r="430" spans="1:59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</row>
    <row r="431" spans="1:59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</row>
    <row r="432" spans="1:59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</row>
    <row r="433" spans="1:59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</row>
    <row r="434" spans="1:59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</row>
    <row r="435" spans="1:59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</row>
    <row r="436" spans="1:59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</row>
    <row r="437" spans="1:59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</row>
    <row r="438" spans="1:59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</row>
    <row r="439" spans="1:5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</row>
    <row r="440" spans="1:59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</row>
    <row r="441" spans="1:59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</row>
    <row r="442" spans="1:59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</row>
    <row r="443" spans="1:59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</row>
    <row r="444" spans="1:59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</row>
    <row r="445" spans="1:59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</row>
    <row r="446" spans="1:59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</row>
    <row r="447" spans="1:59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</row>
    <row r="448" spans="1:59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</row>
    <row r="449" spans="1:5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</row>
    <row r="450" spans="1:59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</row>
    <row r="451" spans="1:59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</row>
    <row r="452" spans="1:59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</row>
    <row r="453" spans="1:59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</row>
    <row r="454" spans="1:59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</row>
    <row r="455" spans="1:59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</row>
    <row r="456" spans="1:59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</row>
    <row r="457" spans="1:59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</row>
    <row r="458" spans="1:59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</row>
    <row r="459" spans="1: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</row>
    <row r="460" spans="1:59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</row>
    <row r="461" spans="1:59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</row>
    <row r="462" spans="1:59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</row>
    <row r="463" spans="1:59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</row>
    <row r="464" spans="1:59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</row>
    <row r="465" spans="1:59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</row>
    <row r="466" spans="1:59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</row>
    <row r="467" spans="1:59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</row>
    <row r="468" spans="1:59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</row>
    <row r="469" spans="1:5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</row>
    <row r="470" spans="1:59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</row>
    <row r="471" spans="1:59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</row>
    <row r="472" spans="1:59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</row>
    <row r="473" spans="1:59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</row>
    <row r="474" spans="1:59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</row>
    <row r="475" spans="1:59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</row>
    <row r="476" spans="1:59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</row>
    <row r="477" spans="1:59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</row>
    <row r="478" spans="1:59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</row>
    <row r="479" spans="1:5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</row>
    <row r="480" spans="1:59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</row>
    <row r="481" spans="1:59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</row>
    <row r="482" spans="1:59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</row>
    <row r="483" spans="1:59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</row>
    <row r="484" spans="1:59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</row>
    <row r="485" spans="1:59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</row>
    <row r="486" spans="1:59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</row>
    <row r="487" spans="1:59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</row>
    <row r="488" spans="1:59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</row>
    <row r="489" spans="1:5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</row>
    <row r="490" spans="1:59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</row>
    <row r="491" spans="1:59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</row>
    <row r="492" spans="1:59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</row>
    <row r="493" spans="1:59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</row>
    <row r="494" spans="1:59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</row>
    <row r="495" spans="1:59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</row>
    <row r="496" spans="1:59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</row>
    <row r="497" spans="1:59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</row>
    <row r="498" spans="1:59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</row>
    <row r="499" spans="1:5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</row>
    <row r="500" spans="1:59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</row>
    <row r="501" spans="1:59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</row>
    <row r="502" spans="1:59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</row>
    <row r="503" spans="1:59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</row>
    <row r="504" spans="1:59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</row>
    <row r="505" spans="1:59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</row>
    <row r="506" spans="1:59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</row>
    <row r="507" spans="1:59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</row>
    <row r="508" spans="1:59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</row>
    <row r="509" spans="1:5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</row>
    <row r="510" spans="1:59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</row>
    <row r="511" spans="1:59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</row>
    <row r="512" spans="1:59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</row>
    <row r="513" spans="1:59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</row>
    <row r="514" spans="1:59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</row>
    <row r="515" spans="1:59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</row>
    <row r="516" spans="1:59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</row>
    <row r="517" spans="1:59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</row>
    <row r="518" spans="1:59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</row>
    <row r="519" spans="1:5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</row>
    <row r="520" spans="1:59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</row>
    <row r="521" spans="1:59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</row>
    <row r="522" spans="1:59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</row>
    <row r="523" spans="1:59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</row>
    <row r="524" spans="1:59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</row>
    <row r="525" spans="1:59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</row>
    <row r="526" spans="1:59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</row>
    <row r="527" spans="1:59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</row>
    <row r="528" spans="1:59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</row>
    <row r="529" spans="1:5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</row>
    <row r="530" spans="1:59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</row>
    <row r="531" spans="1:59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</row>
    <row r="532" spans="1:59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</row>
    <row r="533" spans="1:59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</row>
    <row r="534" spans="1:59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</row>
    <row r="535" spans="1:59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</row>
    <row r="536" spans="1:59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</row>
    <row r="537" spans="1:59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</row>
    <row r="538" spans="1:59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</row>
    <row r="539" spans="1:5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</row>
    <row r="540" spans="1:59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</row>
    <row r="541" spans="1:59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</row>
    <row r="542" spans="1:59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</row>
    <row r="543" spans="1:59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</row>
    <row r="544" spans="1:59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</row>
    <row r="545" spans="1:59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</row>
    <row r="546" spans="1:59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</row>
    <row r="547" spans="1:59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</row>
    <row r="548" spans="1:59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</row>
    <row r="549" spans="1:5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</row>
    <row r="550" spans="1:59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</row>
    <row r="551" spans="1:59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</row>
    <row r="552" spans="1:59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</row>
    <row r="553" spans="1:59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</row>
    <row r="554" spans="1:59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</row>
    <row r="555" spans="1:59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</row>
    <row r="556" spans="1:59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</row>
    <row r="557" spans="1:59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</row>
    <row r="558" spans="1:59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</row>
    <row r="559" spans="1: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</row>
    <row r="560" spans="1:59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</row>
    <row r="561" spans="1:59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</row>
    <row r="562" spans="1:59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</row>
    <row r="563" spans="1:59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</row>
    <row r="564" spans="1:59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</row>
    <row r="565" spans="1:59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</row>
    <row r="566" spans="1:59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</row>
    <row r="567" spans="1:59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</row>
    <row r="568" spans="1:59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</row>
    <row r="569" spans="1:5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</row>
    <row r="570" spans="1:59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</row>
    <row r="571" spans="1:59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</row>
    <row r="572" spans="1:59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</row>
    <row r="573" spans="1:59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</row>
    <row r="574" spans="1:59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</row>
    <row r="575" spans="1:59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</row>
    <row r="576" spans="1:59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</row>
    <row r="577" spans="1:59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</row>
    <row r="578" spans="1:59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</row>
    <row r="579" spans="1:5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</row>
    <row r="580" spans="1:59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</row>
    <row r="581" spans="1:59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</row>
    <row r="582" spans="1:59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</row>
    <row r="583" spans="1:59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</row>
    <row r="584" spans="1:59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</row>
    <row r="585" spans="1:59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</row>
    <row r="586" spans="1:59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</row>
    <row r="587" spans="1:59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</row>
    <row r="588" spans="1:59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</row>
    <row r="589" spans="1:5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</row>
    <row r="590" spans="1:59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</row>
    <row r="591" spans="1:59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</row>
    <row r="592" spans="1:59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</row>
    <row r="593" spans="1:59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</row>
    <row r="594" spans="1:59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</row>
    <row r="595" spans="1:59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</row>
    <row r="596" spans="1:59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</row>
    <row r="597" spans="1:59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</row>
    <row r="598" spans="1:59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</row>
    <row r="599" spans="1:5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</row>
    <row r="600" spans="1:59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</row>
    <row r="601" spans="1:59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</row>
    <row r="602" spans="1:59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</row>
    <row r="603" spans="1:59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</row>
    <row r="604" spans="1:59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</row>
    <row r="605" spans="1:59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</row>
    <row r="606" spans="1:59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</row>
    <row r="607" spans="1:59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</row>
    <row r="608" spans="1:59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</row>
    <row r="609" spans="1:5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</row>
    <row r="610" spans="1:59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</row>
    <row r="611" spans="1:59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</row>
    <row r="612" spans="1:59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</row>
    <row r="613" spans="1:59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</row>
    <row r="614" spans="1:59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</row>
    <row r="615" spans="1:59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</row>
    <row r="616" spans="1:59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</row>
    <row r="617" spans="1:59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</row>
    <row r="618" spans="1:59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</row>
    <row r="619" spans="1:5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</row>
    <row r="620" spans="1:59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</row>
    <row r="621" spans="1:59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</row>
    <row r="622" spans="1:59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</row>
    <row r="623" spans="1:59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</row>
    <row r="624" spans="1:59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3"/>
      <c r="BG624" s="3"/>
    </row>
    <row r="625" spans="1:59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  <c r="BG625" s="3"/>
    </row>
    <row r="626" spans="1:59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</row>
    <row r="627" spans="1:59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</row>
    <row r="628" spans="1:59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</row>
    <row r="629" spans="1:5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</row>
    <row r="630" spans="1:59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</row>
    <row r="631" spans="1:59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</row>
    <row r="632" spans="1:59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</row>
    <row r="633" spans="1:59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</row>
    <row r="634" spans="1:59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</row>
    <row r="635" spans="1:59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</row>
    <row r="636" spans="1:59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</row>
    <row r="637" spans="1:59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</row>
    <row r="638" spans="1:59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</row>
    <row r="639" spans="1:5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</row>
    <row r="640" spans="1:59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</row>
    <row r="641" spans="1:59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</row>
    <row r="642" spans="1:59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</row>
    <row r="643" spans="1:59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</row>
    <row r="644" spans="1:59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</row>
    <row r="645" spans="1:59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</row>
    <row r="646" spans="1:59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</row>
    <row r="647" spans="1:59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</row>
    <row r="648" spans="1:59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</row>
    <row r="649" spans="1:5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</row>
    <row r="650" spans="1:59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3"/>
    </row>
    <row r="651" spans="1:59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3"/>
      <c r="BG651" s="3"/>
    </row>
    <row r="652" spans="1:59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</row>
    <row r="653" spans="1:59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</row>
    <row r="654" spans="1:59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</row>
    <row r="655" spans="1:59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</row>
    <row r="656" spans="1:59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</row>
    <row r="657" spans="1:59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</row>
    <row r="658" spans="1:59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</row>
    <row r="659" spans="1: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</row>
    <row r="660" spans="1:59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</row>
    <row r="661" spans="1:59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</row>
    <row r="662" spans="1:59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</row>
    <row r="663" spans="1:59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</row>
    <row r="664" spans="1:59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</row>
    <row r="665" spans="1:59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</row>
    <row r="666" spans="1:59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</row>
    <row r="667" spans="1:59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</row>
    <row r="668" spans="1:59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</row>
    <row r="669" spans="1:5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</row>
    <row r="670" spans="1:59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</row>
    <row r="671" spans="1:59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</row>
    <row r="672" spans="1:59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</row>
    <row r="673" spans="1:59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</row>
    <row r="674" spans="1:59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</row>
    <row r="675" spans="1:59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</row>
    <row r="676" spans="1:59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</row>
    <row r="677" spans="1:59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  <c r="BG677" s="3"/>
    </row>
    <row r="678" spans="1:59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</row>
    <row r="679" spans="1:5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</row>
    <row r="680" spans="1:59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</row>
    <row r="681" spans="1:59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</row>
    <row r="682" spans="1:59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</row>
    <row r="683" spans="1:59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</row>
    <row r="684" spans="1:59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</row>
    <row r="685" spans="1:59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</row>
    <row r="686" spans="1:59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</row>
    <row r="687" spans="1:59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</row>
    <row r="688" spans="1:59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</row>
    <row r="689" spans="1:5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</row>
    <row r="690" spans="1:59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</row>
    <row r="691" spans="1:59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</row>
    <row r="692" spans="1:59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</row>
    <row r="693" spans="1:59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</row>
    <row r="694" spans="1:59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</row>
    <row r="695" spans="1:59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</row>
    <row r="696" spans="1:59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</row>
    <row r="697" spans="1:59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</row>
    <row r="698" spans="1:59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</row>
    <row r="699" spans="1:5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</row>
    <row r="700" spans="1:59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</row>
    <row r="701" spans="1:59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</row>
    <row r="702" spans="1:59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  <c r="BF702" s="3"/>
      <c r="BG702" s="3"/>
    </row>
    <row r="703" spans="1:59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  <c r="BG703" s="3"/>
    </row>
    <row r="704" spans="1:59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</row>
    <row r="705" spans="1:59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</row>
    <row r="706" spans="1:59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</row>
    <row r="707" spans="1:59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</row>
    <row r="708" spans="1:59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</row>
    <row r="709" spans="1:5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</row>
    <row r="710" spans="1:59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</row>
    <row r="711" spans="1:59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</row>
    <row r="712" spans="1:59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</row>
    <row r="713" spans="1:59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</row>
    <row r="714" spans="1:59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</row>
    <row r="715" spans="1:59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</row>
    <row r="716" spans="1:59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</row>
    <row r="717" spans="1:59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</row>
    <row r="718" spans="1:59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</row>
    <row r="719" spans="1:5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</row>
    <row r="720" spans="1:59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</row>
    <row r="721" spans="1:59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</row>
    <row r="722" spans="1:59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</row>
    <row r="723" spans="1:59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</row>
    <row r="724" spans="1:59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</row>
    <row r="725" spans="1:59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</row>
    <row r="726" spans="1:59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</row>
    <row r="727" spans="1:59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</row>
    <row r="728" spans="1:59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/>
      <c r="BG728" s="3"/>
    </row>
    <row r="729" spans="1:5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/>
      <c r="BF729" s="3"/>
      <c r="BG729" s="3"/>
    </row>
    <row r="730" spans="1:59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</row>
    <row r="731" spans="1:59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</row>
    <row r="732" spans="1:59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</row>
    <row r="733" spans="1:59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</row>
    <row r="734" spans="1:59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</row>
    <row r="735" spans="1:59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</row>
    <row r="736" spans="1:59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</row>
    <row r="737" spans="1:59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</row>
    <row r="738" spans="1:59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</row>
    <row r="739" spans="1:5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</row>
    <row r="740" spans="1:59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</row>
    <row r="741" spans="1:59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</row>
    <row r="742" spans="1:59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</row>
    <row r="743" spans="1:59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</row>
    <row r="744" spans="1:59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</row>
    <row r="745" spans="1:59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</row>
    <row r="746" spans="1:59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</row>
    <row r="747" spans="1:59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</row>
    <row r="748" spans="1:59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</row>
    <row r="749" spans="1:5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</row>
    <row r="750" spans="1:59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</row>
    <row r="751" spans="1:59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</row>
    <row r="752" spans="1:59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</row>
    <row r="753" spans="1:59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</row>
    <row r="754" spans="1:59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3"/>
      <c r="BF754" s="3"/>
      <c r="BG754" s="3"/>
    </row>
    <row r="755" spans="1:59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/>
      <c r="BF755" s="3"/>
      <c r="BG755" s="3"/>
    </row>
    <row r="756" spans="1:59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</row>
    <row r="757" spans="1:59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</row>
    <row r="758" spans="1:59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</row>
    <row r="759" spans="1: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</row>
    <row r="760" spans="1:59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</row>
    <row r="761" spans="1:59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</row>
    <row r="762" spans="1:59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</row>
    <row r="763" spans="1:59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</row>
    <row r="764" spans="1:59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</row>
    <row r="765" spans="1:59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</row>
    <row r="766" spans="1:59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</row>
    <row r="767" spans="1:59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</row>
    <row r="768" spans="1:59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</row>
    <row r="769" spans="1:5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</row>
    <row r="770" spans="1:59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</row>
    <row r="771" spans="1:59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</row>
    <row r="772" spans="1:59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</row>
    <row r="773" spans="1:59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</row>
    <row r="774" spans="1:59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</row>
    <row r="775" spans="1:59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</row>
    <row r="776" spans="1:59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</row>
    <row r="777" spans="1:59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</row>
    <row r="778" spans="1:59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</row>
    <row r="779" spans="1:5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</row>
    <row r="780" spans="1:59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  <c r="BE780" s="3"/>
      <c r="BF780" s="3"/>
      <c r="BG780" s="3"/>
    </row>
    <row r="781" spans="1:59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  <c r="BE781" s="3"/>
      <c r="BF781" s="3"/>
      <c r="BG781" s="3"/>
    </row>
    <row r="782" spans="1:59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</row>
    <row r="783" spans="1:59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</row>
    <row r="784" spans="1:59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</row>
    <row r="785" spans="1:59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</row>
    <row r="786" spans="1:59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</row>
    <row r="787" spans="1:59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</row>
    <row r="788" spans="1:59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</row>
    <row r="789" spans="1:5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</row>
    <row r="790" spans="1:59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</row>
    <row r="791" spans="1:59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</row>
    <row r="792" spans="1:59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</row>
    <row r="793" spans="1:59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</row>
    <row r="794" spans="1:59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</row>
    <row r="795" spans="1:59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</row>
    <row r="796" spans="1:59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</row>
    <row r="797" spans="1:59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</row>
    <row r="798" spans="1:59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</row>
    <row r="799" spans="1:5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</row>
    <row r="800" spans="1:59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</row>
    <row r="801" spans="1:59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</row>
    <row r="802" spans="1:59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</row>
    <row r="803" spans="1:59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</row>
    <row r="804" spans="1:59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</row>
    <row r="805" spans="1:59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</row>
    <row r="806" spans="1:59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</row>
    <row r="807" spans="1:59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</row>
    <row r="808" spans="1:59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</row>
    <row r="809" spans="1:5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</row>
    <row r="810" spans="1:59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</row>
    <row r="811" spans="1:59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</row>
    <row r="812" spans="1:59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</row>
    <row r="813" spans="1:59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</row>
    <row r="814" spans="1:59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</row>
    <row r="815" spans="1:59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</row>
    <row r="816" spans="1:59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</row>
    <row r="817" spans="1:59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</row>
    <row r="818" spans="1:59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</row>
    <row r="819" spans="1:5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</row>
    <row r="820" spans="1:59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</row>
    <row r="821" spans="1:59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</row>
    <row r="822" spans="1:59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</row>
    <row r="823" spans="1:59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</row>
    <row r="824" spans="1:59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</row>
    <row r="825" spans="1:59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</row>
    <row r="826" spans="1:59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</row>
    <row r="827" spans="1:59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</row>
    <row r="828" spans="1:59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</row>
    <row r="829" spans="1:5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</row>
    <row r="830" spans="1:59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</row>
    <row r="831" spans="1:59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</row>
    <row r="832" spans="1:59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</row>
    <row r="833" spans="1:59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</row>
    <row r="834" spans="1:59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</row>
    <row r="835" spans="1:59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</row>
    <row r="836" spans="1:59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</row>
    <row r="837" spans="1:59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</row>
    <row r="838" spans="1:59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</row>
    <row r="839" spans="1:5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</row>
    <row r="840" spans="1:59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</row>
    <row r="841" spans="1:59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</row>
    <row r="842" spans="1:59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</row>
    <row r="843" spans="1:59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</row>
    <row r="844" spans="1:59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</row>
    <row r="845" spans="1:59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</row>
    <row r="846" spans="1:59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</row>
    <row r="847" spans="1:59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</row>
    <row r="848" spans="1:59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</row>
    <row r="849" spans="1:5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</row>
    <row r="850" spans="1:59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</row>
    <row r="851" spans="1:59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</row>
    <row r="852" spans="1:59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</row>
    <row r="853" spans="1:59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</row>
    <row r="854" spans="1:59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</row>
    <row r="855" spans="1:59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</row>
    <row r="856" spans="1:59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</row>
    <row r="857" spans="1:59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</row>
    <row r="858" spans="1:59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</row>
    <row r="859" spans="1: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  <c r="BG859" s="3"/>
    </row>
    <row r="860" spans="1:59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</row>
    <row r="861" spans="1:59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</row>
    <row r="862" spans="1:59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</row>
    <row r="863" spans="1:59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</row>
    <row r="864" spans="1:59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</row>
    <row r="865" spans="1:59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</row>
    <row r="866" spans="1:59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</row>
    <row r="867" spans="1:59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</row>
    <row r="868" spans="1:59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</row>
    <row r="869" spans="1:5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</row>
    <row r="870" spans="1:59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</row>
    <row r="871" spans="1:59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</row>
    <row r="872" spans="1:59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</row>
    <row r="873" spans="1:59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</row>
    <row r="874" spans="1:59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</row>
    <row r="875" spans="1:59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</row>
    <row r="876" spans="1:59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</row>
    <row r="877" spans="1:59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</row>
    <row r="878" spans="1:59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</row>
    <row r="879" spans="1:5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</row>
    <row r="880" spans="1:59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</row>
    <row r="881" spans="1:59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</row>
    <row r="882" spans="1:59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</row>
    <row r="883" spans="1:59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</row>
    <row r="884" spans="1:59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</row>
    <row r="885" spans="1:59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</row>
    <row r="886" spans="1:59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</row>
    <row r="887" spans="1:59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</row>
    <row r="888" spans="1:59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</row>
    <row r="889" spans="1:5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</row>
    <row r="890" spans="1:59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</row>
    <row r="891" spans="1:59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</row>
    <row r="892" spans="1:59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</row>
    <row r="893" spans="1:59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</row>
    <row r="894" spans="1:59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</row>
    <row r="895" spans="1:59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</row>
    <row r="896" spans="1:59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</row>
    <row r="897" spans="1:59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</row>
    <row r="898" spans="1:59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</row>
    <row r="899" spans="1:5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</row>
    <row r="900" spans="1:59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</row>
    <row r="901" spans="1:59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</row>
    <row r="902" spans="1:59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</row>
    <row r="903" spans="1:59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</row>
    <row r="904" spans="1:59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</row>
    <row r="905" spans="1:59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</row>
    <row r="906" spans="1:59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</row>
    <row r="907" spans="1:59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</row>
    <row r="908" spans="1:59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</row>
    <row r="909" spans="1:5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</row>
    <row r="910" spans="1:59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</row>
    <row r="911" spans="1:59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/>
    </row>
    <row r="912" spans="1:59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</row>
    <row r="913" spans="1:59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</row>
    <row r="914" spans="1:59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</row>
    <row r="915" spans="1:59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</row>
    <row r="916" spans="1:59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</row>
    <row r="917" spans="1:59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</row>
    <row r="918" spans="1:59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</row>
    <row r="919" spans="1:5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</row>
    <row r="920" spans="1:59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</row>
    <row r="921" spans="1:59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</row>
    <row r="922" spans="1:59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</row>
    <row r="923" spans="1:59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</row>
    <row r="924" spans="1:59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</row>
    <row r="925" spans="1:59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</row>
    <row r="926" spans="1:59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</row>
    <row r="927" spans="1:59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</row>
    <row r="928" spans="1:59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</row>
    <row r="929" spans="1:5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</row>
    <row r="930" spans="1:59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</row>
    <row r="931" spans="1:59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</row>
    <row r="932" spans="1:59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</row>
    <row r="933" spans="1:59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</row>
    <row r="934" spans="1:59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</row>
    <row r="935" spans="1:59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</row>
    <row r="936" spans="1:59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3"/>
      <c r="BF936" s="3"/>
      <c r="BG936" s="3"/>
    </row>
    <row r="937" spans="1:59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  <c r="BE937" s="3"/>
      <c r="BF937" s="3"/>
      <c r="BG937" s="3"/>
    </row>
    <row r="938" spans="1:59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3"/>
      <c r="BG938" s="3"/>
    </row>
    <row r="939" spans="1:5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3"/>
      <c r="BF939" s="3"/>
      <c r="BG939" s="3"/>
    </row>
    <row r="940" spans="1:59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  <c r="BF940" s="3"/>
      <c r="BG940" s="3"/>
    </row>
    <row r="941" spans="1:59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3"/>
      <c r="BF941" s="3"/>
      <c r="BG941" s="3"/>
    </row>
    <row r="942" spans="1:59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3"/>
      <c r="BF942" s="3"/>
      <c r="BG942" s="3"/>
    </row>
    <row r="943" spans="1:59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3"/>
      <c r="BF943" s="3"/>
      <c r="BG943" s="3"/>
    </row>
    <row r="944" spans="1:59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  <c r="BE944" s="3"/>
      <c r="BF944" s="3"/>
      <c r="BG944" s="3"/>
    </row>
    <row r="945" spans="1:59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  <c r="BE945" s="3"/>
      <c r="BF945" s="3"/>
      <c r="BG945" s="3"/>
    </row>
    <row r="946" spans="1:59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  <c r="BE946" s="3"/>
      <c r="BF946" s="3"/>
      <c r="BG946" s="3"/>
    </row>
    <row r="947" spans="1:59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  <c r="BE947" s="3"/>
      <c r="BF947" s="3"/>
      <c r="BG947" s="3"/>
    </row>
    <row r="948" spans="1:59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  <c r="BE948" s="3"/>
      <c r="BF948" s="3"/>
      <c r="BG948" s="3"/>
    </row>
    <row r="949" spans="1:5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  <c r="BE949" s="3"/>
      <c r="BF949" s="3"/>
      <c r="BG949" s="3"/>
    </row>
    <row r="950" spans="1:59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</row>
    <row r="951" spans="1:59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</row>
    <row r="952" spans="1:59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</row>
    <row r="953" spans="1:59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</row>
    <row r="954" spans="1:59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  <c r="BE954" s="3"/>
      <c r="BF954" s="3"/>
      <c r="BG954" s="3"/>
    </row>
    <row r="955" spans="1:59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  <c r="BE955" s="3"/>
      <c r="BF955" s="3"/>
      <c r="BG955" s="3"/>
    </row>
    <row r="956" spans="1:59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  <c r="BE956" s="3"/>
      <c r="BF956" s="3"/>
      <c r="BG956" s="3"/>
    </row>
    <row r="957" spans="1:59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  <c r="BD957" s="3"/>
      <c r="BE957" s="3"/>
      <c r="BF957" s="3"/>
      <c r="BG957" s="3"/>
    </row>
    <row r="958" spans="1:59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  <c r="BE958" s="3"/>
      <c r="BF958" s="3"/>
      <c r="BG958" s="3"/>
    </row>
    <row r="959" spans="1: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  <c r="BE959" s="3"/>
      <c r="BF959" s="3"/>
      <c r="BG959" s="3"/>
    </row>
    <row r="960" spans="1:59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  <c r="BE960" s="3"/>
      <c r="BF960" s="3"/>
      <c r="BG960" s="3"/>
    </row>
    <row r="961" spans="1:59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  <c r="BD961" s="3"/>
      <c r="BE961" s="3"/>
      <c r="BF961" s="3"/>
      <c r="BG961" s="3"/>
    </row>
    <row r="962" spans="1:59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  <c r="BE962" s="3"/>
      <c r="BF962" s="3"/>
      <c r="BG962" s="3"/>
    </row>
    <row r="963" spans="1:59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  <c r="BE963" s="3"/>
      <c r="BF963" s="3"/>
      <c r="BG963" s="3"/>
    </row>
    <row r="964" spans="1:59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3"/>
      <c r="BE964" s="3"/>
      <c r="BF964" s="3"/>
      <c r="BG964" s="3"/>
    </row>
    <row r="965" spans="1:59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/>
      <c r="BE965" s="3"/>
      <c r="BF965" s="3"/>
      <c r="BG965" s="3"/>
    </row>
    <row r="966" spans="1:59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/>
      <c r="BE966" s="3"/>
      <c r="BF966" s="3"/>
      <c r="BG966" s="3"/>
    </row>
    <row r="967" spans="1:59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  <c r="BE967" s="3"/>
      <c r="BF967" s="3"/>
      <c r="BG967" s="3"/>
    </row>
    <row r="968" spans="1:59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  <c r="BD968" s="3"/>
      <c r="BE968" s="3"/>
      <c r="BF968" s="3"/>
      <c r="BG968" s="3"/>
    </row>
    <row r="969" spans="1:5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  <c r="BD969" s="3"/>
      <c r="BE969" s="3"/>
      <c r="BF969" s="3"/>
      <c r="BG969" s="3"/>
    </row>
    <row r="970" spans="1:59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  <c r="BD970" s="3"/>
      <c r="BE970" s="3"/>
      <c r="BF970" s="3"/>
      <c r="BG970" s="3"/>
    </row>
    <row r="971" spans="1:59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  <c r="BD971" s="3"/>
      <c r="BE971" s="3"/>
      <c r="BF971" s="3"/>
      <c r="BG971" s="3"/>
    </row>
    <row r="972" spans="1:59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/>
      <c r="BE972" s="3"/>
      <c r="BF972" s="3"/>
      <c r="BG972" s="3"/>
    </row>
    <row r="973" spans="1:59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  <c r="BD973" s="3"/>
      <c r="BE973" s="3"/>
      <c r="BF973" s="3"/>
      <c r="BG973" s="3"/>
    </row>
    <row r="974" spans="1:59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</row>
    <row r="975" spans="1:59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</row>
    <row r="976" spans="1:59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</row>
    <row r="977" spans="1:59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</row>
    <row r="978" spans="1:59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  <c r="BD978" s="3"/>
      <c r="BE978" s="3"/>
      <c r="BF978" s="3"/>
      <c r="BG978" s="3"/>
    </row>
    <row r="979" spans="1:5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  <c r="BD979" s="3"/>
      <c r="BE979" s="3"/>
      <c r="BF979" s="3"/>
      <c r="BG979" s="3"/>
    </row>
    <row r="980" spans="1:59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  <c r="BD980" s="3"/>
      <c r="BE980" s="3"/>
      <c r="BF980" s="3"/>
      <c r="BG980" s="3"/>
    </row>
    <row r="981" spans="1:59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  <c r="BD981" s="3"/>
      <c r="BE981" s="3"/>
      <c r="BF981" s="3"/>
      <c r="BG981" s="3"/>
    </row>
    <row r="982" spans="1:59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  <c r="BD982" s="3"/>
      <c r="BE982" s="3"/>
      <c r="BF982" s="3"/>
      <c r="BG982" s="3"/>
    </row>
    <row r="983" spans="1:59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  <c r="BD983" s="3"/>
      <c r="BE983" s="3"/>
      <c r="BF983" s="3"/>
      <c r="BG983" s="3"/>
    </row>
    <row r="984" spans="1:59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  <c r="BD984" s="3"/>
      <c r="BE984" s="3"/>
      <c r="BF984" s="3"/>
      <c r="BG984" s="3"/>
    </row>
    <row r="985" spans="1:59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  <c r="BD985" s="3"/>
      <c r="BE985" s="3"/>
      <c r="BF985" s="3"/>
      <c r="BG985" s="3"/>
    </row>
    <row r="986" spans="1:59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  <c r="BD986" s="3"/>
      <c r="BE986" s="3"/>
      <c r="BF986" s="3"/>
      <c r="BG986" s="3"/>
    </row>
    <row r="987" spans="1:59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  <c r="BD987" s="3"/>
      <c r="BE987" s="3"/>
      <c r="BF987" s="3"/>
      <c r="BG987" s="3"/>
    </row>
    <row r="988" spans="1:59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  <c r="BD988" s="3"/>
      <c r="BE988" s="3"/>
      <c r="BF988" s="3"/>
      <c r="BG988" s="3"/>
    </row>
    <row r="989" spans="1:5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  <c r="BD989" s="3"/>
      <c r="BE989" s="3"/>
      <c r="BF989" s="3"/>
      <c r="BG989" s="3"/>
    </row>
    <row r="990" spans="1:59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  <c r="BD990" s="3"/>
      <c r="BE990" s="3"/>
      <c r="BF990" s="3"/>
      <c r="BG990" s="3"/>
    </row>
    <row r="991" spans="1:59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  <c r="BD991" s="3"/>
      <c r="BE991" s="3"/>
      <c r="BF991" s="3"/>
      <c r="BG991" s="3"/>
    </row>
    <row r="992" spans="1:59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  <c r="BA992" s="3"/>
      <c r="BB992" s="3"/>
      <c r="BC992" s="3"/>
      <c r="BD992" s="3"/>
      <c r="BE992" s="3"/>
      <c r="BF992" s="3"/>
      <c r="BG992" s="3"/>
    </row>
    <row r="993" spans="1:59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/>
      <c r="BA993" s="3"/>
      <c r="BB993" s="3"/>
      <c r="BC993" s="3"/>
      <c r="BD993" s="3"/>
      <c r="BE993" s="3"/>
      <c r="BF993" s="3"/>
      <c r="BG993" s="3"/>
    </row>
    <row r="994" spans="1:59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  <c r="BD994" s="3"/>
      <c r="BE994" s="3"/>
      <c r="BF994" s="3"/>
      <c r="BG994" s="3"/>
    </row>
    <row r="995" spans="1:59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  <c r="BD995" s="3"/>
      <c r="BE995" s="3"/>
      <c r="BF995" s="3"/>
      <c r="BG995" s="3"/>
    </row>
    <row r="996" spans="1:59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  <c r="BD996" s="3"/>
      <c r="BE996" s="3"/>
      <c r="BF996" s="3"/>
      <c r="BG996" s="3"/>
    </row>
    <row r="997" spans="1:59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  <c r="BD997" s="3"/>
      <c r="BE997" s="3"/>
      <c r="BF997" s="3"/>
      <c r="BG997" s="3"/>
    </row>
    <row r="998" spans="1:59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  <c r="BG998" s="3"/>
    </row>
    <row r="999" spans="1:5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/>
      <c r="BG999" s="3"/>
    </row>
  </sheetData>
  <mergeCells count="171">
    <mergeCell ref="AO60:AP60"/>
    <mergeCell ref="AE59:AF59"/>
    <mergeCell ref="AG59:AH59"/>
    <mergeCell ref="AI59:AJ59"/>
    <mergeCell ref="AK59:AL59"/>
    <mergeCell ref="AM59:AN59"/>
    <mergeCell ref="E60:G60"/>
    <mergeCell ref="H60:J60"/>
    <mergeCell ref="K60:M60"/>
    <mergeCell ref="N60:P60"/>
    <mergeCell ref="Q60:S60"/>
    <mergeCell ref="T60:V60"/>
    <mergeCell ref="W60:Y60"/>
    <mergeCell ref="Z60:AB60"/>
    <mergeCell ref="AC60:AD60"/>
    <mergeCell ref="AE60:AF60"/>
    <mergeCell ref="AG60:AH60"/>
    <mergeCell ref="AI60:AJ60"/>
    <mergeCell ref="AK60:AL60"/>
    <mergeCell ref="AM60:AN60"/>
    <mergeCell ref="E59:G59"/>
    <mergeCell ref="H59:J59"/>
    <mergeCell ref="K59:M59"/>
    <mergeCell ref="N59:P59"/>
    <mergeCell ref="Q59:S59"/>
    <mergeCell ref="T59:V59"/>
    <mergeCell ref="W59:Y59"/>
    <mergeCell ref="Z59:AB59"/>
    <mergeCell ref="AC59:AD59"/>
    <mergeCell ref="E58:G58"/>
    <mergeCell ref="H58:J58"/>
    <mergeCell ref="K58:M58"/>
    <mergeCell ref="N58:P58"/>
    <mergeCell ref="Q58:S58"/>
    <mergeCell ref="T58:V58"/>
    <mergeCell ref="W58:Y58"/>
    <mergeCell ref="Z58:AB58"/>
    <mergeCell ref="AC58:AD58"/>
    <mergeCell ref="E57:G57"/>
    <mergeCell ref="H57:J57"/>
    <mergeCell ref="K57:M57"/>
    <mergeCell ref="N57:P57"/>
    <mergeCell ref="Q57:S57"/>
    <mergeCell ref="T57:V57"/>
    <mergeCell ref="W57:Y57"/>
    <mergeCell ref="Z57:AB57"/>
    <mergeCell ref="AC57:AD57"/>
    <mergeCell ref="E56:G56"/>
    <mergeCell ref="H56:J56"/>
    <mergeCell ref="K56:M56"/>
    <mergeCell ref="N56:P56"/>
    <mergeCell ref="Q56:S56"/>
    <mergeCell ref="T56:V56"/>
    <mergeCell ref="W56:Y56"/>
    <mergeCell ref="Z56:AB56"/>
    <mergeCell ref="AC56:AD56"/>
    <mergeCell ref="AC54:AH54"/>
    <mergeCell ref="AI54:AL54"/>
    <mergeCell ref="AM54:AN55"/>
    <mergeCell ref="AO54:AP59"/>
    <mergeCell ref="AC55:AD55"/>
    <mergeCell ref="AE55:AF55"/>
    <mergeCell ref="AG55:AH55"/>
    <mergeCell ref="AI55:AJ55"/>
    <mergeCell ref="AK55:AL55"/>
    <mergeCell ref="AE56:AF56"/>
    <mergeCell ref="AG56:AH56"/>
    <mergeCell ref="AI56:AJ56"/>
    <mergeCell ref="AK56:AL56"/>
    <mergeCell ref="AM56:AN56"/>
    <mergeCell ref="AE57:AF57"/>
    <mergeCell ref="AG57:AH57"/>
    <mergeCell ref="AI57:AJ57"/>
    <mergeCell ref="AK57:AL57"/>
    <mergeCell ref="AM57:AN57"/>
    <mergeCell ref="AE58:AF58"/>
    <mergeCell ref="AG58:AH58"/>
    <mergeCell ref="AI58:AJ58"/>
    <mergeCell ref="AK58:AL58"/>
    <mergeCell ref="AM58:AN58"/>
    <mergeCell ref="D54:D55"/>
    <mergeCell ref="E54:G55"/>
    <mergeCell ref="H54:J55"/>
    <mergeCell ref="K54:M55"/>
    <mergeCell ref="N54:P55"/>
    <mergeCell ref="Q54:S55"/>
    <mergeCell ref="T54:V55"/>
    <mergeCell ref="W54:Y55"/>
    <mergeCell ref="Z54:AB55"/>
    <mergeCell ref="A51:C52"/>
    <mergeCell ref="D51:D52"/>
    <mergeCell ref="E51:K51"/>
    <mergeCell ref="L51:R51"/>
    <mergeCell ref="S51:Y51"/>
    <mergeCell ref="Z51:AF51"/>
    <mergeCell ref="AG51:AM51"/>
    <mergeCell ref="E52:K52"/>
    <mergeCell ref="L52:R52"/>
    <mergeCell ref="S52:Y52"/>
    <mergeCell ref="Z52:AF52"/>
    <mergeCell ref="AG52:AM52"/>
    <mergeCell ref="A36:A40"/>
    <mergeCell ref="E37:K37"/>
    <mergeCell ref="AG37:AM37"/>
    <mergeCell ref="A41:A44"/>
    <mergeCell ref="A45:A49"/>
    <mergeCell ref="AG48:AM48"/>
    <mergeCell ref="A50:C50"/>
    <mergeCell ref="E50:K50"/>
    <mergeCell ref="L50:R50"/>
    <mergeCell ref="S50:Y50"/>
    <mergeCell ref="Z50:AF50"/>
    <mergeCell ref="AG50:AM50"/>
    <mergeCell ref="AN28:AN29"/>
    <mergeCell ref="AO28:AO29"/>
    <mergeCell ref="AX28:AZ28"/>
    <mergeCell ref="BA28:BB28"/>
    <mergeCell ref="A30:A31"/>
    <mergeCell ref="P30:R30"/>
    <mergeCell ref="A32:A35"/>
    <mergeCell ref="S35:Y35"/>
    <mergeCell ref="Z35:AF35"/>
    <mergeCell ref="AG35:AM35"/>
    <mergeCell ref="A28:A29"/>
    <mergeCell ref="B28:B29"/>
    <mergeCell ref="C28:C29"/>
    <mergeCell ref="D28:D29"/>
    <mergeCell ref="E28:K28"/>
    <mergeCell ref="L28:R28"/>
    <mergeCell ref="S28:Y28"/>
    <mergeCell ref="Z28:AF28"/>
    <mergeCell ref="AG28:AM28"/>
    <mergeCell ref="A18:A21"/>
    <mergeCell ref="S18:Y18"/>
    <mergeCell ref="A22:A25"/>
    <mergeCell ref="AG24:AM24"/>
    <mergeCell ref="AK25:AM25"/>
    <mergeCell ref="A26:C26"/>
    <mergeCell ref="E26:K26"/>
    <mergeCell ref="L26:R26"/>
    <mergeCell ref="S26:Y26"/>
    <mergeCell ref="Z26:AF26"/>
    <mergeCell ref="AG26:AM26"/>
    <mergeCell ref="A5:A8"/>
    <mergeCell ref="E5:K5"/>
    <mergeCell ref="O5:R5"/>
    <mergeCell ref="A9:A12"/>
    <mergeCell ref="A13:A17"/>
    <mergeCell ref="AG13:AM13"/>
    <mergeCell ref="E14:K14"/>
    <mergeCell ref="L14:R14"/>
    <mergeCell ref="E17:K17"/>
    <mergeCell ref="A1:AN1"/>
    <mergeCell ref="B2:L2"/>
    <mergeCell ref="AI2:AN2"/>
    <mergeCell ref="AS2:AT2"/>
    <mergeCell ref="AX2:AZ2"/>
    <mergeCell ref="BA2:BB2"/>
    <mergeCell ref="A3:A4"/>
    <mergeCell ref="B3:B4"/>
    <mergeCell ref="C3:C4"/>
    <mergeCell ref="D3:D4"/>
    <mergeCell ref="E3:K3"/>
    <mergeCell ref="L3:R3"/>
    <mergeCell ref="S3:Y3"/>
    <mergeCell ref="Z3:AF3"/>
    <mergeCell ref="AG3:AM3"/>
    <mergeCell ref="AN3:AN4"/>
    <mergeCell ref="AO3:AO4"/>
    <mergeCell ref="AX3:AZ3"/>
    <mergeCell ref="BA3:BB3"/>
  </mergeCells>
  <dataValidations count="2">
    <dataValidation type="list" allowBlank="1" showErrorMessage="1" sqref="AG49:AJ49 L53:X53" xr:uid="{00000000-0002-0000-0200-000000000000}">
      <formula1>$AP$4:$AZ$4</formula1>
    </dataValidation>
    <dataValidation type="list" operator="equal" allowBlank="1" showErrorMessage="1" sqref="Z30:AD34 L31:R45 L15:R25 S30:W34 L46:W49 L13:R13 Z49:AC49 S36:W45 S13:W17 E18:I25 AG25:AJ25 AG14:AM23 AG5:AM12 L5:N6 S5:W5 O6:W6 AG36:AM36 AG38:AM47 E38:I49 L30:O30 L7:W12 S19:W25 E6:I13 E15:I16 E31:I36 AG30:AM34 Z36:AD48 Z5:AD25" xr:uid="{00000000-0002-0000-0200-000001000000}">
      <formula1>$AP$4:$BB$4</formula1>
    </dataValidation>
  </dataValidations>
  <pageMargins left="0.25" right="0.25" top="0.75" bottom="0.75" header="0.3" footer="0.3"/>
  <pageSetup paperSize="9" scale="65" fitToWidth="0"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BP999"/>
  <sheetViews>
    <sheetView zoomScale="70" zoomScaleNormal="70" zoomScaleSheetLayoutView="70" workbookViewId="0">
      <pane xSplit="4" ySplit="4" topLeftCell="K37" activePane="bottomRight" state="frozen"/>
      <selection pane="bottomRight" activeCell="AQ44" sqref="AQ44"/>
      <selection pane="bottomLeft"/>
      <selection pane="topRight"/>
    </sheetView>
  </sheetViews>
  <sheetFormatPr defaultColWidth="12.625" defaultRowHeight="15" customHeight="1"/>
  <cols>
    <col min="1" max="2" width="3.25" style="92" customWidth="1"/>
    <col min="3" max="3" width="16.125" style="92" bestFit="1" customWidth="1"/>
    <col min="4" max="4" width="6" style="92" customWidth="1"/>
    <col min="5" max="39" width="4.5" style="92" customWidth="1"/>
    <col min="40" max="40" width="6.125" style="92" bestFit="1" customWidth="1"/>
    <col min="41" max="41" width="5.125" style="92" customWidth="1"/>
    <col min="42" max="44" width="4.25" style="92" customWidth="1"/>
    <col min="45" max="45" width="3.5" style="92" customWidth="1"/>
    <col min="46" max="46" width="4.25" style="92" customWidth="1"/>
    <col min="47" max="47" width="4.375" style="92" bestFit="1" customWidth="1"/>
    <col min="48" max="48" width="3.875" style="92" customWidth="1"/>
    <col min="49" max="49" width="3.5" style="92" customWidth="1"/>
    <col min="50" max="50" width="4.375" style="92" customWidth="1"/>
    <col min="51" max="51" width="3.5" style="92" customWidth="1"/>
    <col min="52" max="52" width="4.375" style="92" customWidth="1"/>
    <col min="53" max="54" width="4" style="92" customWidth="1"/>
    <col min="55" max="59" width="7.625" style="92" customWidth="1"/>
    <col min="60" max="16384" width="12.625" style="92"/>
  </cols>
  <sheetData>
    <row r="1" spans="1:60" ht="28.5" customHeight="1">
      <c r="A1" s="115" t="s">
        <v>0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15"/>
      <c r="AM1" s="115"/>
      <c r="AN1" s="115"/>
      <c r="AO1" s="1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3"/>
      <c r="BB1" s="3"/>
      <c r="BC1" s="3"/>
      <c r="BD1" s="3"/>
      <c r="BE1" s="3"/>
      <c r="BF1" s="3"/>
      <c r="BG1" s="3"/>
    </row>
    <row r="2" spans="1:60" ht="20.25" customHeight="1">
      <c r="A2" s="4"/>
      <c r="B2" s="116" t="s">
        <v>1</v>
      </c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6"/>
      <c r="AA2" s="7"/>
      <c r="AB2" s="7"/>
      <c r="AC2" s="7"/>
      <c r="AD2" s="7"/>
      <c r="AE2" s="7"/>
      <c r="AF2" s="7"/>
      <c r="AG2" s="7"/>
      <c r="AH2" s="7"/>
      <c r="AI2" s="117" t="s">
        <v>110</v>
      </c>
      <c r="AJ2" s="117"/>
      <c r="AK2" s="117"/>
      <c r="AL2" s="117"/>
      <c r="AM2" s="117"/>
      <c r="AN2" s="117"/>
      <c r="AO2" s="5"/>
      <c r="AP2" s="8"/>
      <c r="AQ2" s="8"/>
      <c r="AR2" s="8"/>
      <c r="AS2" s="118"/>
      <c r="AT2" s="118"/>
      <c r="AU2" s="9"/>
      <c r="AV2" s="9"/>
      <c r="AW2" s="9"/>
      <c r="AX2" s="119"/>
      <c r="AY2" s="175"/>
      <c r="AZ2" s="175"/>
      <c r="BA2" s="120"/>
      <c r="BB2" s="175"/>
      <c r="BC2" s="6"/>
      <c r="BD2" s="6"/>
      <c r="BE2" s="6"/>
      <c r="BF2" s="6"/>
      <c r="BG2" s="6"/>
    </row>
    <row r="3" spans="1:60" ht="24" customHeight="1">
      <c r="A3" s="121" t="s">
        <v>3</v>
      </c>
      <c r="B3" s="122" t="s">
        <v>4</v>
      </c>
      <c r="C3" s="122" t="s">
        <v>5</v>
      </c>
      <c r="D3" s="123" t="s">
        <v>6</v>
      </c>
      <c r="E3" s="124" t="s">
        <v>7</v>
      </c>
      <c r="F3" s="176"/>
      <c r="G3" s="176"/>
      <c r="H3" s="176"/>
      <c r="I3" s="176"/>
      <c r="J3" s="176"/>
      <c r="K3" s="177"/>
      <c r="L3" s="124" t="s">
        <v>8</v>
      </c>
      <c r="M3" s="176"/>
      <c r="N3" s="176"/>
      <c r="O3" s="176"/>
      <c r="P3" s="176"/>
      <c r="Q3" s="176"/>
      <c r="R3" s="177"/>
      <c r="S3" s="124" t="s">
        <v>9</v>
      </c>
      <c r="T3" s="176"/>
      <c r="U3" s="176"/>
      <c r="V3" s="176"/>
      <c r="W3" s="176"/>
      <c r="X3" s="176"/>
      <c r="Y3" s="177"/>
      <c r="Z3" s="124" t="s">
        <v>10</v>
      </c>
      <c r="AA3" s="176"/>
      <c r="AB3" s="176"/>
      <c r="AC3" s="176"/>
      <c r="AD3" s="176"/>
      <c r="AE3" s="176"/>
      <c r="AF3" s="177"/>
      <c r="AG3" s="124" t="s">
        <v>11</v>
      </c>
      <c r="AH3" s="176"/>
      <c r="AI3" s="176"/>
      <c r="AJ3" s="176"/>
      <c r="AK3" s="176"/>
      <c r="AL3" s="176"/>
      <c r="AM3" s="177"/>
      <c r="AN3" s="166" t="s">
        <v>12</v>
      </c>
      <c r="AO3" s="126"/>
      <c r="AP3" s="10"/>
      <c r="AQ3" s="10"/>
      <c r="AR3" s="10"/>
      <c r="AS3" s="10"/>
      <c r="AT3" s="10"/>
      <c r="AU3" s="10"/>
      <c r="AV3" s="10"/>
      <c r="AW3" s="12"/>
      <c r="AX3" s="127" t="s">
        <v>13</v>
      </c>
      <c r="AY3" s="178"/>
      <c r="AZ3" s="178"/>
      <c r="BA3" s="128" t="s">
        <v>14</v>
      </c>
      <c r="BB3" s="178"/>
      <c r="BC3" s="12"/>
      <c r="BD3" s="12"/>
      <c r="BE3" s="12"/>
      <c r="BF3" s="12"/>
      <c r="BG3" s="12"/>
    </row>
    <row r="4" spans="1:60" ht="24" customHeight="1">
      <c r="A4" s="179"/>
      <c r="B4" s="180"/>
      <c r="C4" s="180"/>
      <c r="D4" s="181"/>
      <c r="E4" s="46">
        <v>1</v>
      </c>
      <c r="F4" s="47">
        <v>2</v>
      </c>
      <c r="G4" s="47">
        <v>3</v>
      </c>
      <c r="H4" s="47">
        <v>4</v>
      </c>
      <c r="I4" s="47">
        <v>5</v>
      </c>
      <c r="J4" s="47">
        <v>6</v>
      </c>
      <c r="K4" s="48">
        <v>7</v>
      </c>
      <c r="L4" s="46">
        <v>1</v>
      </c>
      <c r="M4" s="47">
        <v>2</v>
      </c>
      <c r="N4" s="47">
        <v>3</v>
      </c>
      <c r="O4" s="47">
        <v>4</v>
      </c>
      <c r="P4" s="47">
        <v>5</v>
      </c>
      <c r="Q4" s="47">
        <v>6</v>
      </c>
      <c r="R4" s="48">
        <v>7</v>
      </c>
      <c r="S4" s="46">
        <v>1</v>
      </c>
      <c r="T4" s="47">
        <v>2</v>
      </c>
      <c r="U4" s="47">
        <v>3</v>
      </c>
      <c r="V4" s="47">
        <v>4</v>
      </c>
      <c r="W4" s="47">
        <v>5</v>
      </c>
      <c r="X4" s="47">
        <v>6</v>
      </c>
      <c r="Y4" s="48">
        <v>7</v>
      </c>
      <c r="Z4" s="46">
        <v>1</v>
      </c>
      <c r="AA4" s="47">
        <v>2</v>
      </c>
      <c r="AB4" s="47">
        <v>3</v>
      </c>
      <c r="AC4" s="47">
        <v>4</v>
      </c>
      <c r="AD4" s="47">
        <v>5</v>
      </c>
      <c r="AE4" s="47">
        <v>6</v>
      </c>
      <c r="AF4" s="48">
        <v>7</v>
      </c>
      <c r="AG4" s="46">
        <v>1</v>
      </c>
      <c r="AH4" s="47">
        <v>2</v>
      </c>
      <c r="AI4" s="47">
        <v>3</v>
      </c>
      <c r="AJ4" s="47">
        <v>4</v>
      </c>
      <c r="AK4" s="47">
        <v>5</v>
      </c>
      <c r="AL4" s="47">
        <v>6</v>
      </c>
      <c r="AM4" s="48">
        <v>7</v>
      </c>
      <c r="AN4" s="219"/>
      <c r="AO4" s="126"/>
      <c r="AP4" s="14" t="s">
        <v>15</v>
      </c>
      <c r="AQ4" s="14" t="s">
        <v>16</v>
      </c>
      <c r="AR4" s="14" t="s">
        <v>17</v>
      </c>
      <c r="AS4" s="14" t="s">
        <v>18</v>
      </c>
      <c r="AT4" s="14" t="s">
        <v>19</v>
      </c>
      <c r="AU4" s="14" t="s">
        <v>20</v>
      </c>
      <c r="AV4" s="34" t="s">
        <v>21</v>
      </c>
      <c r="AW4" s="36" t="s">
        <v>22</v>
      </c>
      <c r="AX4" s="37" t="s">
        <v>23</v>
      </c>
      <c r="AY4" s="35" t="s">
        <v>24</v>
      </c>
      <c r="AZ4" s="35" t="s">
        <v>25</v>
      </c>
      <c r="BA4" s="35" t="s">
        <v>26</v>
      </c>
      <c r="BB4" s="35" t="s">
        <v>27</v>
      </c>
      <c r="BC4" s="15" t="s">
        <v>28</v>
      </c>
      <c r="BD4" s="12"/>
      <c r="BE4" s="12"/>
      <c r="BF4" s="12"/>
      <c r="BG4" s="12"/>
      <c r="BH4" s="12"/>
    </row>
    <row r="5" spans="1:60" ht="28.5" customHeight="1">
      <c r="A5" s="121">
        <v>3</v>
      </c>
      <c r="B5" s="49">
        <v>1</v>
      </c>
      <c r="C5" s="49" t="s">
        <v>29</v>
      </c>
      <c r="D5" s="50">
        <v>4</v>
      </c>
      <c r="E5" s="167" t="s">
        <v>30</v>
      </c>
      <c r="F5" s="168"/>
      <c r="G5" s="168"/>
      <c r="H5" s="168"/>
      <c r="I5" s="168"/>
      <c r="J5" s="168"/>
      <c r="K5" s="168"/>
      <c r="L5" s="94" t="s">
        <v>26</v>
      </c>
      <c r="M5" s="69" t="s">
        <v>20</v>
      </c>
      <c r="N5" s="69" t="s">
        <v>17</v>
      </c>
      <c r="O5" s="169" t="s">
        <v>31</v>
      </c>
      <c r="P5" s="168"/>
      <c r="Q5" s="168"/>
      <c r="R5" s="168"/>
      <c r="S5" s="94" t="s">
        <v>16</v>
      </c>
      <c r="T5" s="69" t="s">
        <v>15</v>
      </c>
      <c r="U5" s="95" t="s">
        <v>26</v>
      </c>
      <c r="V5" s="69" t="s">
        <v>26</v>
      </c>
      <c r="W5" s="69" t="s">
        <v>27</v>
      </c>
      <c r="X5" s="96" t="s">
        <v>111</v>
      </c>
      <c r="Y5" s="97" t="s">
        <v>111</v>
      </c>
      <c r="Z5" s="98" t="s">
        <v>20</v>
      </c>
      <c r="AA5" s="69" t="s">
        <v>21</v>
      </c>
      <c r="AB5" s="69" t="s">
        <v>15</v>
      </c>
      <c r="AC5" s="69" t="s">
        <v>27</v>
      </c>
      <c r="AD5" s="69" t="s">
        <v>23</v>
      </c>
      <c r="AE5" s="96" t="s">
        <v>111</v>
      </c>
      <c r="AF5" s="97" t="s">
        <v>111</v>
      </c>
      <c r="AG5" s="94" t="s">
        <v>18</v>
      </c>
      <c r="AH5" s="69" t="s">
        <v>18</v>
      </c>
      <c r="AI5" s="69" t="s">
        <v>23</v>
      </c>
      <c r="AJ5" s="99" t="s">
        <v>16</v>
      </c>
      <c r="AK5" s="69" t="s">
        <v>20</v>
      </c>
      <c r="AL5" s="20" t="s">
        <v>23</v>
      </c>
      <c r="AM5" s="100" t="s">
        <v>15</v>
      </c>
      <c r="AN5" s="101" t="s">
        <v>111</v>
      </c>
      <c r="AO5" s="18"/>
      <c r="AP5" s="19">
        <f>COUNTIF(E5:AM5,"=국")</f>
        <v>3</v>
      </c>
      <c r="AQ5" s="19">
        <f>COUNTIF(E5:AM5,"=수")</f>
        <v>2</v>
      </c>
      <c r="AR5" s="19">
        <f>COUNTIF(E5:AM5,"=사")</f>
        <v>1</v>
      </c>
      <c r="AS5" s="19">
        <f>COUNTIF(E5:AM5,"=과")</f>
        <v>2</v>
      </c>
      <c r="AT5" s="19">
        <f>COUNTIF(E5:AM5,"=실")</f>
        <v>0</v>
      </c>
      <c r="AU5" s="19">
        <f>COUNTIF(E5:AN5,"=체")</f>
        <v>3</v>
      </c>
      <c r="AV5" s="19">
        <f>COUNTIF(E5:AM5,"=음")</f>
        <v>1</v>
      </c>
      <c r="AW5" s="38">
        <f>COUNTIF(E5:AM5,"=미")</f>
        <v>0</v>
      </c>
      <c r="AX5" s="19">
        <f>COUNTIF(E5:AM5,"=자")</f>
        <v>3</v>
      </c>
      <c r="AY5" s="19">
        <f>COUNTIF(E5:AM5,"=동")</f>
        <v>0</v>
      </c>
      <c r="AZ5" s="19">
        <f>COUNTIF(E5:AM5,"=진")</f>
        <v>0</v>
      </c>
      <c r="BA5" s="19">
        <f>COUNTIF(E5:AM5,"=의")</f>
        <v>3</v>
      </c>
      <c r="BB5" s="19">
        <f>COUNTIF(E5:AM5,"=선")</f>
        <v>2</v>
      </c>
      <c r="BC5" s="15">
        <f>SUM(AP5:BB5)</f>
        <v>20</v>
      </c>
      <c r="BD5" s="12"/>
      <c r="BE5" s="12"/>
      <c r="BF5" s="12"/>
      <c r="BG5" s="12"/>
      <c r="BH5" s="12"/>
    </row>
    <row r="6" spans="1:60" ht="28.5" customHeight="1">
      <c r="A6" s="185"/>
      <c r="B6" s="13">
        <v>2</v>
      </c>
      <c r="C6" s="13" t="s">
        <v>32</v>
      </c>
      <c r="D6" s="40">
        <v>5</v>
      </c>
      <c r="E6" s="98" t="s">
        <v>23</v>
      </c>
      <c r="F6" s="20" t="s">
        <v>23</v>
      </c>
      <c r="G6" s="95" t="s">
        <v>22</v>
      </c>
      <c r="H6" s="20" t="s">
        <v>22</v>
      </c>
      <c r="I6" s="20" t="s">
        <v>21</v>
      </c>
      <c r="J6" s="102" t="s">
        <v>111</v>
      </c>
      <c r="K6" s="103" t="s">
        <v>111</v>
      </c>
      <c r="L6" s="104" t="s">
        <v>26</v>
      </c>
      <c r="M6" s="20" t="s">
        <v>20</v>
      </c>
      <c r="N6" s="20" t="s">
        <v>17</v>
      </c>
      <c r="O6" s="20" t="s">
        <v>16</v>
      </c>
      <c r="P6" s="20" t="s">
        <v>19</v>
      </c>
      <c r="Q6" s="20" t="s">
        <v>19</v>
      </c>
      <c r="R6" s="105" t="s">
        <v>15</v>
      </c>
      <c r="S6" s="104" t="s">
        <v>16</v>
      </c>
      <c r="T6" s="20" t="s">
        <v>15</v>
      </c>
      <c r="U6" s="95" t="s">
        <v>26</v>
      </c>
      <c r="V6" s="69" t="s">
        <v>26</v>
      </c>
      <c r="W6" s="69" t="s">
        <v>27</v>
      </c>
      <c r="X6" s="96" t="s">
        <v>111</v>
      </c>
      <c r="Y6" s="97" t="s">
        <v>111</v>
      </c>
      <c r="Z6" s="98" t="s">
        <v>20</v>
      </c>
      <c r="AA6" s="69" t="s">
        <v>21</v>
      </c>
      <c r="AB6" s="69" t="s">
        <v>15</v>
      </c>
      <c r="AC6" s="69" t="s">
        <v>27</v>
      </c>
      <c r="AD6" s="106" t="s">
        <v>25</v>
      </c>
      <c r="AE6" s="96" t="s">
        <v>111</v>
      </c>
      <c r="AF6" s="97" t="s">
        <v>111</v>
      </c>
      <c r="AG6" s="94" t="s">
        <v>18</v>
      </c>
      <c r="AH6" s="20" t="s">
        <v>18</v>
      </c>
      <c r="AI6" s="20" t="s">
        <v>23</v>
      </c>
      <c r="AJ6" s="20" t="s">
        <v>17</v>
      </c>
      <c r="AK6" s="20" t="s">
        <v>20</v>
      </c>
      <c r="AL6" s="20" t="s">
        <v>23</v>
      </c>
      <c r="AM6" s="105" t="s">
        <v>15</v>
      </c>
      <c r="AN6" s="107" t="s">
        <v>111</v>
      </c>
      <c r="AO6" s="18"/>
      <c r="AP6" s="19">
        <f>COUNTIF(E6:AM6,"=국")</f>
        <v>4</v>
      </c>
      <c r="AQ6" s="19">
        <f>COUNTIF(E6:AM6,"=수")</f>
        <v>2</v>
      </c>
      <c r="AR6" s="19">
        <f>COUNTIF(E6:AM6,"=사")</f>
        <v>2</v>
      </c>
      <c r="AS6" s="19">
        <f>COUNTIF(E6:AM6,"=과")</f>
        <v>2</v>
      </c>
      <c r="AT6" s="19">
        <f>COUNTIF(E6:AM6,"=실")</f>
        <v>2</v>
      </c>
      <c r="AU6" s="19">
        <f>COUNTIF(E6:AN6,"=체")</f>
        <v>3</v>
      </c>
      <c r="AV6" s="19">
        <f>COUNTIF(E6:AM6,"=음")</f>
        <v>2</v>
      </c>
      <c r="AW6" s="19">
        <f>COUNTIF(E6:AM6,"=미")</f>
        <v>2</v>
      </c>
      <c r="AX6" s="19">
        <f>COUNTIF(E6:AM6,"=자")</f>
        <v>4</v>
      </c>
      <c r="AY6" s="19">
        <f>COUNTIF(E6:AM6,"=동")</f>
        <v>0</v>
      </c>
      <c r="AZ6" s="19">
        <f>COUNTIF(E6:AM6,"=진")</f>
        <v>1</v>
      </c>
      <c r="BA6" s="19">
        <f>COUNTIF(E6:AM6,"=의")</f>
        <v>3</v>
      </c>
      <c r="BB6" s="19">
        <f>COUNTIF(E6:AM6,"=선")</f>
        <v>2</v>
      </c>
      <c r="BC6" s="15">
        <f>SUM(AP6:BB6)</f>
        <v>29</v>
      </c>
      <c r="BD6" s="12"/>
      <c r="BE6" s="12"/>
      <c r="BF6" s="12"/>
      <c r="BG6" s="12"/>
      <c r="BH6" s="12"/>
    </row>
    <row r="7" spans="1:60" ht="28.5" customHeight="1">
      <c r="A7" s="185"/>
      <c r="B7" s="13">
        <v>3</v>
      </c>
      <c r="C7" s="13" t="s">
        <v>33</v>
      </c>
      <c r="D7" s="40">
        <v>5</v>
      </c>
      <c r="E7" s="98" t="s">
        <v>23</v>
      </c>
      <c r="F7" s="20" t="s">
        <v>23</v>
      </c>
      <c r="G7" s="95" t="s">
        <v>22</v>
      </c>
      <c r="H7" s="20" t="s">
        <v>22</v>
      </c>
      <c r="I7" s="20" t="s">
        <v>21</v>
      </c>
      <c r="J7" s="102" t="s">
        <v>111</v>
      </c>
      <c r="K7" s="103" t="s">
        <v>111</v>
      </c>
      <c r="L7" s="104" t="s">
        <v>26</v>
      </c>
      <c r="M7" s="20" t="s">
        <v>20</v>
      </c>
      <c r="N7" s="20" t="s">
        <v>17</v>
      </c>
      <c r="O7" s="20" t="s">
        <v>16</v>
      </c>
      <c r="P7" s="20" t="s">
        <v>19</v>
      </c>
      <c r="Q7" s="20" t="s">
        <v>19</v>
      </c>
      <c r="R7" s="105" t="s">
        <v>15</v>
      </c>
      <c r="S7" s="104" t="s">
        <v>16</v>
      </c>
      <c r="T7" s="20" t="s">
        <v>15</v>
      </c>
      <c r="U7" s="95" t="s">
        <v>26</v>
      </c>
      <c r="V7" s="69" t="s">
        <v>26</v>
      </c>
      <c r="W7" s="69" t="s">
        <v>27</v>
      </c>
      <c r="X7" s="96" t="s">
        <v>111</v>
      </c>
      <c r="Y7" s="97" t="s">
        <v>111</v>
      </c>
      <c r="Z7" s="104" t="s">
        <v>24</v>
      </c>
      <c r="AA7" s="69" t="s">
        <v>21</v>
      </c>
      <c r="AB7" s="69" t="s">
        <v>15</v>
      </c>
      <c r="AC7" s="69" t="s">
        <v>27</v>
      </c>
      <c r="AD7" s="106" t="s">
        <v>25</v>
      </c>
      <c r="AE7" s="96" t="s">
        <v>111</v>
      </c>
      <c r="AF7" s="97" t="s">
        <v>111</v>
      </c>
      <c r="AG7" s="94" t="s">
        <v>18</v>
      </c>
      <c r="AH7" s="20" t="s">
        <v>18</v>
      </c>
      <c r="AI7" s="20" t="s">
        <v>23</v>
      </c>
      <c r="AJ7" s="20" t="s">
        <v>17</v>
      </c>
      <c r="AK7" s="20" t="s">
        <v>20</v>
      </c>
      <c r="AL7" s="20" t="s">
        <v>23</v>
      </c>
      <c r="AM7" s="105" t="s">
        <v>15</v>
      </c>
      <c r="AN7" s="107" t="s">
        <v>111</v>
      </c>
      <c r="AO7" s="18"/>
      <c r="AP7" s="19">
        <f>COUNTIF(E7:AM7,"=국")</f>
        <v>4</v>
      </c>
      <c r="AQ7" s="19">
        <f>COUNTIF(E7:AM7,"=수")</f>
        <v>2</v>
      </c>
      <c r="AR7" s="19">
        <f>COUNTIF(E7:AM7,"=사")</f>
        <v>2</v>
      </c>
      <c r="AS7" s="19">
        <f>COUNTIF(E7:AM7,"=과")</f>
        <v>2</v>
      </c>
      <c r="AT7" s="19">
        <f>COUNTIF(E7:AM7,"=실")</f>
        <v>2</v>
      </c>
      <c r="AU7" s="19">
        <f>COUNTIF(E7:AN7,"=체")</f>
        <v>2</v>
      </c>
      <c r="AV7" s="19">
        <f>COUNTIF(E7:AM7,"=음")</f>
        <v>2</v>
      </c>
      <c r="AW7" s="19">
        <f>COUNTIF(E7:AM7,"=미")</f>
        <v>2</v>
      </c>
      <c r="AX7" s="19">
        <f>COUNTIF(E7:AM7,"=자")</f>
        <v>4</v>
      </c>
      <c r="AY7" s="19">
        <f>COUNTIF(E7:AM7,"=동")</f>
        <v>1</v>
      </c>
      <c r="AZ7" s="19">
        <f>COUNTIF(E7:AM7,"=진")</f>
        <v>1</v>
      </c>
      <c r="BA7" s="19">
        <f>COUNTIF(E7:AM7,"=의")</f>
        <v>3</v>
      </c>
      <c r="BB7" s="19">
        <f>COUNTIF(E7:AM7,"=선")</f>
        <v>2</v>
      </c>
      <c r="BC7" s="15">
        <f>SUM(AP7:BB7)</f>
        <v>29</v>
      </c>
      <c r="BD7" s="12"/>
      <c r="BE7" s="12"/>
      <c r="BF7" s="12"/>
      <c r="BG7" s="12"/>
      <c r="BH7" s="12"/>
    </row>
    <row r="8" spans="1:60" ht="28.5" customHeight="1">
      <c r="A8" s="186"/>
      <c r="B8" s="13">
        <v>4</v>
      </c>
      <c r="C8" s="13" t="s">
        <v>34</v>
      </c>
      <c r="D8" s="40">
        <v>5</v>
      </c>
      <c r="E8" s="98" t="s">
        <v>23</v>
      </c>
      <c r="F8" s="20" t="s">
        <v>23</v>
      </c>
      <c r="G8" s="95" t="s">
        <v>22</v>
      </c>
      <c r="H8" s="20" t="s">
        <v>22</v>
      </c>
      <c r="I8" s="20" t="s">
        <v>21</v>
      </c>
      <c r="J8" s="102" t="s">
        <v>111</v>
      </c>
      <c r="K8" s="103" t="s">
        <v>111</v>
      </c>
      <c r="L8" s="104" t="s">
        <v>26</v>
      </c>
      <c r="M8" s="20" t="s">
        <v>20</v>
      </c>
      <c r="N8" s="20" t="s">
        <v>17</v>
      </c>
      <c r="O8" s="20" t="s">
        <v>16</v>
      </c>
      <c r="P8" s="20" t="s">
        <v>19</v>
      </c>
      <c r="Q8" s="20" t="s">
        <v>19</v>
      </c>
      <c r="R8" s="105" t="s">
        <v>15</v>
      </c>
      <c r="S8" s="104" t="s">
        <v>16</v>
      </c>
      <c r="T8" s="20" t="s">
        <v>15</v>
      </c>
      <c r="U8" s="95" t="s">
        <v>20</v>
      </c>
      <c r="V8" s="69" t="s">
        <v>26</v>
      </c>
      <c r="W8" s="69" t="s">
        <v>27</v>
      </c>
      <c r="X8" s="96" t="s">
        <v>111</v>
      </c>
      <c r="Y8" s="97" t="s">
        <v>111</v>
      </c>
      <c r="Z8" s="104" t="s">
        <v>24</v>
      </c>
      <c r="AA8" s="69" t="s">
        <v>21</v>
      </c>
      <c r="AB8" s="69" t="s">
        <v>15</v>
      </c>
      <c r="AC8" s="69" t="s">
        <v>27</v>
      </c>
      <c r="AD8" s="106" t="s">
        <v>25</v>
      </c>
      <c r="AE8" s="96" t="s">
        <v>111</v>
      </c>
      <c r="AF8" s="97" t="s">
        <v>111</v>
      </c>
      <c r="AG8" s="94" t="s">
        <v>18</v>
      </c>
      <c r="AH8" s="20" t="s">
        <v>18</v>
      </c>
      <c r="AI8" s="20" t="s">
        <v>23</v>
      </c>
      <c r="AJ8" s="20" t="s">
        <v>17</v>
      </c>
      <c r="AK8" s="20" t="s">
        <v>20</v>
      </c>
      <c r="AL8" s="20" t="s">
        <v>23</v>
      </c>
      <c r="AM8" s="105" t="s">
        <v>15</v>
      </c>
      <c r="AN8" s="107" t="s">
        <v>111</v>
      </c>
      <c r="AO8" s="18"/>
      <c r="AP8" s="19">
        <f>COUNTIF(E8:AM8,"=국")</f>
        <v>4</v>
      </c>
      <c r="AQ8" s="19">
        <f>COUNTIF(E8:AM8,"=수")</f>
        <v>2</v>
      </c>
      <c r="AR8" s="19">
        <f>COUNTIF(E8:AM8,"=사")</f>
        <v>2</v>
      </c>
      <c r="AS8" s="19">
        <f>COUNTIF(E8:AM8,"=과")</f>
        <v>2</v>
      </c>
      <c r="AT8" s="19">
        <f>COUNTIF(E8:AM8,"=실")</f>
        <v>2</v>
      </c>
      <c r="AU8" s="19">
        <f>COUNTIF(E8:AN8,"=체")</f>
        <v>3</v>
      </c>
      <c r="AV8" s="19">
        <f>COUNTIF(E8:AM8,"=음")</f>
        <v>2</v>
      </c>
      <c r="AW8" s="19">
        <f>COUNTIF(E8:AM8,"=미")</f>
        <v>2</v>
      </c>
      <c r="AX8" s="19">
        <f>COUNTIF(E8:AM8,"=자")</f>
        <v>4</v>
      </c>
      <c r="AY8" s="19">
        <f>COUNTIF(E8:AM8,"=동")</f>
        <v>1</v>
      </c>
      <c r="AZ8" s="19">
        <f>COUNTIF(E8:AM8,"=진")</f>
        <v>1</v>
      </c>
      <c r="BA8" s="19">
        <f>COUNTIF(E8:AM8,"=의")</f>
        <v>2</v>
      </c>
      <c r="BB8" s="19">
        <f>COUNTIF(E8:AM8,"=선")</f>
        <v>2</v>
      </c>
      <c r="BC8" s="15">
        <f>SUM(AP8:BB8)</f>
        <v>29</v>
      </c>
      <c r="BD8" s="12"/>
      <c r="BE8" s="12"/>
      <c r="BF8" s="12"/>
      <c r="BG8" s="12"/>
      <c r="BH8" s="12"/>
    </row>
    <row r="9" spans="1:60" ht="28.5" customHeight="1">
      <c r="A9" s="134">
        <v>4</v>
      </c>
      <c r="B9" s="13">
        <v>5</v>
      </c>
      <c r="C9" s="13" t="s">
        <v>35</v>
      </c>
      <c r="D9" s="40">
        <v>5</v>
      </c>
      <c r="E9" s="98" t="s">
        <v>23</v>
      </c>
      <c r="F9" s="20" t="s">
        <v>23</v>
      </c>
      <c r="G9" s="20" t="s">
        <v>16</v>
      </c>
      <c r="H9" s="20" t="s">
        <v>22</v>
      </c>
      <c r="I9" s="20" t="s">
        <v>22</v>
      </c>
      <c r="J9" s="102" t="s">
        <v>111</v>
      </c>
      <c r="K9" s="103" t="s">
        <v>111</v>
      </c>
      <c r="L9" s="104" t="s">
        <v>26</v>
      </c>
      <c r="M9" s="20" t="s">
        <v>20</v>
      </c>
      <c r="N9" s="20" t="s">
        <v>17</v>
      </c>
      <c r="O9" s="20" t="s">
        <v>16</v>
      </c>
      <c r="P9" s="20" t="s">
        <v>19</v>
      </c>
      <c r="Q9" s="20" t="s">
        <v>19</v>
      </c>
      <c r="R9" s="105" t="s">
        <v>15</v>
      </c>
      <c r="S9" s="104" t="s">
        <v>16</v>
      </c>
      <c r="T9" s="20" t="s">
        <v>15</v>
      </c>
      <c r="U9" s="95" t="s">
        <v>20</v>
      </c>
      <c r="V9" s="69" t="s">
        <v>26</v>
      </c>
      <c r="W9" s="69" t="s">
        <v>27</v>
      </c>
      <c r="X9" s="96" t="s">
        <v>111</v>
      </c>
      <c r="Y9" s="97" t="s">
        <v>111</v>
      </c>
      <c r="Z9" s="104" t="s">
        <v>24</v>
      </c>
      <c r="AA9" s="69" t="s">
        <v>21</v>
      </c>
      <c r="AB9" s="69" t="s">
        <v>15</v>
      </c>
      <c r="AC9" s="69" t="s">
        <v>27</v>
      </c>
      <c r="AD9" s="108" t="s">
        <v>25</v>
      </c>
      <c r="AE9" s="96" t="s">
        <v>111</v>
      </c>
      <c r="AF9" s="97" t="s">
        <v>111</v>
      </c>
      <c r="AG9" s="94" t="s">
        <v>18</v>
      </c>
      <c r="AH9" s="20" t="s">
        <v>18</v>
      </c>
      <c r="AI9" s="20" t="s">
        <v>23</v>
      </c>
      <c r="AJ9" s="20" t="s">
        <v>17</v>
      </c>
      <c r="AK9" s="20" t="s">
        <v>20</v>
      </c>
      <c r="AL9" s="20" t="s">
        <v>23</v>
      </c>
      <c r="AM9" s="105" t="s">
        <v>15</v>
      </c>
      <c r="AN9" s="107" t="s">
        <v>111</v>
      </c>
      <c r="AO9" s="18"/>
      <c r="AP9" s="19">
        <f>COUNTIF(E9:AM9,"=국")</f>
        <v>4</v>
      </c>
      <c r="AQ9" s="19">
        <f>COUNTIF(E9:AM9,"=수")</f>
        <v>3</v>
      </c>
      <c r="AR9" s="19">
        <f>COUNTIF(E9:AM9,"=사")</f>
        <v>2</v>
      </c>
      <c r="AS9" s="19">
        <f>COUNTIF(E9:AM9,"=과")</f>
        <v>2</v>
      </c>
      <c r="AT9" s="19">
        <f>COUNTIF(E9:AM9,"=실")</f>
        <v>2</v>
      </c>
      <c r="AU9" s="19">
        <f>COUNTIF(E9:AN9,"=체")</f>
        <v>3</v>
      </c>
      <c r="AV9" s="19">
        <f>COUNTIF(E9:AM9,"=음")</f>
        <v>1</v>
      </c>
      <c r="AW9" s="19">
        <f>COUNTIF(E9:AM9,"=미")</f>
        <v>2</v>
      </c>
      <c r="AX9" s="19">
        <f>COUNTIF(E9:AM9,"=자")</f>
        <v>4</v>
      </c>
      <c r="AY9" s="19">
        <f>COUNTIF(E9:AM9,"=동")</f>
        <v>1</v>
      </c>
      <c r="AZ9" s="19">
        <f>COUNTIF(E9:AM9,"=진")</f>
        <v>1</v>
      </c>
      <c r="BA9" s="19">
        <f>COUNTIF(E9:AM9,"=의")</f>
        <v>2</v>
      </c>
      <c r="BB9" s="19">
        <f>COUNTIF(E9:AM9,"=선")</f>
        <v>2</v>
      </c>
      <c r="BC9" s="15">
        <f>SUM(AP9:BB9)</f>
        <v>29</v>
      </c>
      <c r="BD9" s="12"/>
      <c r="BE9" s="12"/>
      <c r="BF9" s="12"/>
      <c r="BG9" s="12"/>
      <c r="BH9" s="12"/>
    </row>
    <row r="10" spans="1:60" ht="28.5" customHeight="1">
      <c r="A10" s="185"/>
      <c r="B10" s="13">
        <v>6</v>
      </c>
      <c r="C10" s="13" t="s">
        <v>36</v>
      </c>
      <c r="D10" s="40">
        <v>5</v>
      </c>
      <c r="E10" s="98" t="s">
        <v>23</v>
      </c>
      <c r="F10" s="20" t="s">
        <v>23</v>
      </c>
      <c r="G10" s="20" t="s">
        <v>16</v>
      </c>
      <c r="H10" s="20" t="s">
        <v>22</v>
      </c>
      <c r="I10" s="20" t="s">
        <v>22</v>
      </c>
      <c r="J10" s="102" t="s">
        <v>111</v>
      </c>
      <c r="K10" s="103" t="s">
        <v>111</v>
      </c>
      <c r="L10" s="104" t="s">
        <v>26</v>
      </c>
      <c r="M10" s="20" t="s">
        <v>20</v>
      </c>
      <c r="N10" s="20" t="s">
        <v>17</v>
      </c>
      <c r="O10" s="20" t="s">
        <v>16</v>
      </c>
      <c r="P10" s="20" t="s">
        <v>19</v>
      </c>
      <c r="Q10" s="20" t="s">
        <v>19</v>
      </c>
      <c r="R10" s="105" t="s">
        <v>15</v>
      </c>
      <c r="S10" s="104" t="s">
        <v>16</v>
      </c>
      <c r="T10" s="20" t="s">
        <v>15</v>
      </c>
      <c r="U10" s="95" t="s">
        <v>20</v>
      </c>
      <c r="V10" s="69" t="s">
        <v>26</v>
      </c>
      <c r="W10" s="69" t="s">
        <v>27</v>
      </c>
      <c r="X10" s="96" t="s">
        <v>111</v>
      </c>
      <c r="Y10" s="97" t="s">
        <v>111</v>
      </c>
      <c r="Z10" s="104" t="s">
        <v>24</v>
      </c>
      <c r="AA10" s="69" t="s">
        <v>21</v>
      </c>
      <c r="AB10" s="69" t="s">
        <v>15</v>
      </c>
      <c r="AC10" s="69" t="s">
        <v>27</v>
      </c>
      <c r="AD10" s="69" t="s">
        <v>23</v>
      </c>
      <c r="AE10" s="96" t="s">
        <v>111</v>
      </c>
      <c r="AF10" s="97" t="s">
        <v>111</v>
      </c>
      <c r="AG10" s="94" t="s">
        <v>18</v>
      </c>
      <c r="AH10" s="20" t="s">
        <v>18</v>
      </c>
      <c r="AI10" s="20" t="s">
        <v>23</v>
      </c>
      <c r="AJ10" s="20" t="s">
        <v>17</v>
      </c>
      <c r="AK10" s="20" t="s">
        <v>20</v>
      </c>
      <c r="AL10" s="20" t="s">
        <v>23</v>
      </c>
      <c r="AM10" s="105" t="s">
        <v>15</v>
      </c>
      <c r="AN10" s="107" t="s">
        <v>111</v>
      </c>
      <c r="AO10" s="18"/>
      <c r="AP10" s="19">
        <f>COUNTIF(E10:AM10,"=국")</f>
        <v>4</v>
      </c>
      <c r="AQ10" s="19">
        <f>COUNTIF(E10:AM10,"=수")</f>
        <v>3</v>
      </c>
      <c r="AR10" s="19">
        <f>COUNTIF(E10:AM10,"=사")</f>
        <v>2</v>
      </c>
      <c r="AS10" s="19">
        <f>COUNTIF(E10:AM10,"=과")</f>
        <v>2</v>
      </c>
      <c r="AT10" s="19">
        <f>COUNTIF(E10:AM10,"=실")</f>
        <v>2</v>
      </c>
      <c r="AU10" s="19">
        <f>COUNTIF(E10:AN10,"=체")</f>
        <v>3</v>
      </c>
      <c r="AV10" s="19">
        <f>COUNTIF(E10:AM10,"=음")</f>
        <v>1</v>
      </c>
      <c r="AW10" s="19">
        <f>COUNTIF(E10:AM10,"=미")</f>
        <v>2</v>
      </c>
      <c r="AX10" s="19">
        <f>COUNTIF(E10:AM10,"=자")</f>
        <v>5</v>
      </c>
      <c r="AY10" s="19">
        <f>COUNTIF(E10:AM10,"=동")</f>
        <v>1</v>
      </c>
      <c r="AZ10" s="19">
        <f>COUNTIF(E10:AM10,"=진")</f>
        <v>0</v>
      </c>
      <c r="BA10" s="19">
        <f>COUNTIF(E10:AM10,"=의")</f>
        <v>2</v>
      </c>
      <c r="BB10" s="19">
        <f>COUNTIF(E10:AM10,"=선")</f>
        <v>2</v>
      </c>
      <c r="BC10" s="15">
        <f>SUM(AP10:BB10)</f>
        <v>29</v>
      </c>
      <c r="BD10" s="12"/>
      <c r="BE10" s="12"/>
      <c r="BF10" s="12"/>
      <c r="BG10" s="12"/>
      <c r="BH10" s="12"/>
    </row>
    <row r="11" spans="1:60" ht="28.5" customHeight="1">
      <c r="A11" s="185"/>
      <c r="B11" s="13">
        <v>7</v>
      </c>
      <c r="C11" s="13" t="s">
        <v>37</v>
      </c>
      <c r="D11" s="40">
        <v>5</v>
      </c>
      <c r="E11" s="98" t="s">
        <v>23</v>
      </c>
      <c r="F11" s="20" t="s">
        <v>23</v>
      </c>
      <c r="G11" s="20" t="s">
        <v>16</v>
      </c>
      <c r="H11" s="20" t="s">
        <v>22</v>
      </c>
      <c r="I11" s="20" t="s">
        <v>22</v>
      </c>
      <c r="J11" s="102" t="s">
        <v>111</v>
      </c>
      <c r="K11" s="103" t="s">
        <v>111</v>
      </c>
      <c r="L11" s="104" t="s">
        <v>26</v>
      </c>
      <c r="M11" s="20" t="s">
        <v>20</v>
      </c>
      <c r="N11" s="20" t="s">
        <v>17</v>
      </c>
      <c r="O11" s="20" t="s">
        <v>16</v>
      </c>
      <c r="P11" s="20" t="s">
        <v>19</v>
      </c>
      <c r="Q11" s="20" t="s">
        <v>19</v>
      </c>
      <c r="R11" s="105" t="s">
        <v>15</v>
      </c>
      <c r="S11" s="104" t="s">
        <v>16</v>
      </c>
      <c r="T11" s="20" t="s">
        <v>15</v>
      </c>
      <c r="U11" s="95" t="s">
        <v>20</v>
      </c>
      <c r="V11" s="69" t="s">
        <v>26</v>
      </c>
      <c r="W11" s="69" t="s">
        <v>27</v>
      </c>
      <c r="X11" s="96" t="s">
        <v>111</v>
      </c>
      <c r="Y11" s="97" t="s">
        <v>111</v>
      </c>
      <c r="Z11" s="104" t="s">
        <v>24</v>
      </c>
      <c r="AA11" s="69" t="s">
        <v>21</v>
      </c>
      <c r="AB11" s="69" t="s">
        <v>15</v>
      </c>
      <c r="AC11" s="69" t="s">
        <v>27</v>
      </c>
      <c r="AD11" s="69" t="s">
        <v>23</v>
      </c>
      <c r="AE11" s="96" t="s">
        <v>111</v>
      </c>
      <c r="AF11" s="97" t="s">
        <v>111</v>
      </c>
      <c r="AG11" s="94" t="s">
        <v>18</v>
      </c>
      <c r="AH11" s="20" t="s">
        <v>18</v>
      </c>
      <c r="AI11" s="20" t="s">
        <v>23</v>
      </c>
      <c r="AJ11" s="20" t="s">
        <v>17</v>
      </c>
      <c r="AK11" s="20" t="s">
        <v>20</v>
      </c>
      <c r="AL11" s="20" t="s">
        <v>23</v>
      </c>
      <c r="AM11" s="105" t="s">
        <v>15</v>
      </c>
      <c r="AN11" s="107" t="s">
        <v>111</v>
      </c>
      <c r="AO11" s="18"/>
      <c r="AP11" s="19">
        <f>COUNTIF(E11:AM11,"=국")</f>
        <v>4</v>
      </c>
      <c r="AQ11" s="19">
        <f>COUNTIF(E11:AM11,"=수")</f>
        <v>3</v>
      </c>
      <c r="AR11" s="19">
        <f>COUNTIF(E11:AM11,"=사")</f>
        <v>2</v>
      </c>
      <c r="AS11" s="19">
        <f>COUNTIF(E11:AM11,"=과")</f>
        <v>2</v>
      </c>
      <c r="AT11" s="19">
        <f>COUNTIF(E11:AM11,"=실")</f>
        <v>2</v>
      </c>
      <c r="AU11" s="19">
        <f>COUNTIF(E11:AN11,"=체")</f>
        <v>3</v>
      </c>
      <c r="AV11" s="19">
        <f>COUNTIF(E11:AM11,"=음")</f>
        <v>1</v>
      </c>
      <c r="AW11" s="19">
        <f>COUNTIF(E11:AM11,"=미")</f>
        <v>2</v>
      </c>
      <c r="AX11" s="19">
        <f>COUNTIF(E11:AM11,"=자")</f>
        <v>5</v>
      </c>
      <c r="AY11" s="19">
        <f>COUNTIF(E11:AM11,"=동")</f>
        <v>1</v>
      </c>
      <c r="AZ11" s="19">
        <f>COUNTIF(E11:AM11,"=진")</f>
        <v>0</v>
      </c>
      <c r="BA11" s="19">
        <f>COUNTIF(E11:AM11,"=의")</f>
        <v>2</v>
      </c>
      <c r="BB11" s="19">
        <f>COUNTIF(E11:AM11,"=선")</f>
        <v>2</v>
      </c>
      <c r="BC11" s="15">
        <f>SUM(AP11:BB11)</f>
        <v>29</v>
      </c>
      <c r="BD11" s="12"/>
      <c r="BE11" s="12"/>
      <c r="BF11" s="12"/>
      <c r="BG11" s="12"/>
      <c r="BH11" s="12"/>
    </row>
    <row r="12" spans="1:60" ht="28.5" customHeight="1">
      <c r="A12" s="186"/>
      <c r="B12" s="13">
        <v>8</v>
      </c>
      <c r="C12" s="13" t="s">
        <v>38</v>
      </c>
      <c r="D12" s="40">
        <v>5</v>
      </c>
      <c r="E12" s="98" t="s">
        <v>23</v>
      </c>
      <c r="F12" s="20" t="s">
        <v>23</v>
      </c>
      <c r="G12" s="20" t="s">
        <v>16</v>
      </c>
      <c r="H12" s="20" t="s">
        <v>22</v>
      </c>
      <c r="I12" s="20" t="s">
        <v>22</v>
      </c>
      <c r="J12" s="102" t="s">
        <v>111</v>
      </c>
      <c r="K12" s="103" t="s">
        <v>111</v>
      </c>
      <c r="L12" s="104" t="s">
        <v>26</v>
      </c>
      <c r="M12" s="20" t="s">
        <v>20</v>
      </c>
      <c r="N12" s="20" t="s">
        <v>17</v>
      </c>
      <c r="O12" s="20" t="s">
        <v>16</v>
      </c>
      <c r="P12" s="20" t="s">
        <v>19</v>
      </c>
      <c r="Q12" s="20" t="s">
        <v>19</v>
      </c>
      <c r="R12" s="105" t="s">
        <v>15</v>
      </c>
      <c r="S12" s="104" t="s">
        <v>16</v>
      </c>
      <c r="T12" s="20" t="s">
        <v>15</v>
      </c>
      <c r="U12" s="20" t="s">
        <v>17</v>
      </c>
      <c r="V12" s="69" t="s">
        <v>26</v>
      </c>
      <c r="W12" s="69" t="s">
        <v>27</v>
      </c>
      <c r="X12" s="96" t="s">
        <v>111</v>
      </c>
      <c r="Y12" s="97" t="s">
        <v>111</v>
      </c>
      <c r="Z12" s="104" t="s">
        <v>24</v>
      </c>
      <c r="AA12" s="69" t="s">
        <v>21</v>
      </c>
      <c r="AB12" s="69" t="s">
        <v>15</v>
      </c>
      <c r="AC12" s="69" t="s">
        <v>27</v>
      </c>
      <c r="AD12" s="69" t="s">
        <v>23</v>
      </c>
      <c r="AE12" s="96" t="s">
        <v>111</v>
      </c>
      <c r="AF12" s="97" t="s">
        <v>111</v>
      </c>
      <c r="AG12" s="94" t="s">
        <v>18</v>
      </c>
      <c r="AH12" s="20" t="s">
        <v>18</v>
      </c>
      <c r="AI12" s="20" t="s">
        <v>23</v>
      </c>
      <c r="AJ12" s="20" t="s">
        <v>17</v>
      </c>
      <c r="AK12" s="20" t="s">
        <v>20</v>
      </c>
      <c r="AL12" s="20" t="s">
        <v>23</v>
      </c>
      <c r="AM12" s="105" t="s">
        <v>15</v>
      </c>
      <c r="AN12" s="107" t="s">
        <v>111</v>
      </c>
      <c r="AO12" s="18"/>
      <c r="AP12" s="19">
        <f>COUNTIF(E12:AM12,"=국")</f>
        <v>4</v>
      </c>
      <c r="AQ12" s="19">
        <f>COUNTIF(E12:AM12,"=수")</f>
        <v>3</v>
      </c>
      <c r="AR12" s="19">
        <f>COUNTIF(E12:AM12,"=사")</f>
        <v>3</v>
      </c>
      <c r="AS12" s="19">
        <f>COUNTIF(E12:AM12,"=과")</f>
        <v>2</v>
      </c>
      <c r="AT12" s="19">
        <f>COUNTIF(E12:AM12,"=실")</f>
        <v>2</v>
      </c>
      <c r="AU12" s="19">
        <f>COUNTIF(E12:AN12,"=체")</f>
        <v>2</v>
      </c>
      <c r="AV12" s="19">
        <f>COUNTIF(E12:AM12,"=음")</f>
        <v>1</v>
      </c>
      <c r="AW12" s="19">
        <f>COUNTIF(E12:AM12,"=미")</f>
        <v>2</v>
      </c>
      <c r="AX12" s="19">
        <f>COUNTIF(E12:AM12,"=자")</f>
        <v>5</v>
      </c>
      <c r="AY12" s="19">
        <f>COUNTIF(E12:AM12,"=동")</f>
        <v>1</v>
      </c>
      <c r="AZ12" s="19">
        <f>COUNTIF(E12:AM12,"=진")</f>
        <v>0</v>
      </c>
      <c r="BA12" s="19">
        <f>COUNTIF(E12:AM12,"=의")</f>
        <v>2</v>
      </c>
      <c r="BB12" s="19">
        <f>COUNTIF(E12:AM12,"=선")</f>
        <v>2</v>
      </c>
      <c r="BC12" s="15">
        <f>SUM(AP12:BB12)</f>
        <v>29</v>
      </c>
      <c r="BD12" s="12"/>
      <c r="BE12" s="12"/>
      <c r="BF12" s="12"/>
      <c r="BG12" s="12"/>
      <c r="BH12" s="12"/>
    </row>
    <row r="13" spans="1:60" ht="28.5" customHeight="1">
      <c r="A13" s="134">
        <v>5</v>
      </c>
      <c r="B13" s="13">
        <v>9</v>
      </c>
      <c r="C13" s="13" t="s">
        <v>39</v>
      </c>
      <c r="D13" s="40">
        <v>4</v>
      </c>
      <c r="E13" s="98" t="s">
        <v>23</v>
      </c>
      <c r="F13" s="20" t="s">
        <v>23</v>
      </c>
      <c r="G13" s="20" t="s">
        <v>16</v>
      </c>
      <c r="H13" s="20" t="s">
        <v>22</v>
      </c>
      <c r="I13" s="20" t="s">
        <v>22</v>
      </c>
      <c r="J13" s="102" t="s">
        <v>111</v>
      </c>
      <c r="K13" s="103" t="s">
        <v>111</v>
      </c>
      <c r="L13" s="104" t="s">
        <v>26</v>
      </c>
      <c r="M13" s="20" t="s">
        <v>20</v>
      </c>
      <c r="N13" s="20" t="s">
        <v>17</v>
      </c>
      <c r="O13" s="20" t="s">
        <v>16</v>
      </c>
      <c r="P13" s="20" t="s">
        <v>19</v>
      </c>
      <c r="Q13" s="20" t="s">
        <v>19</v>
      </c>
      <c r="R13" s="105" t="s">
        <v>15</v>
      </c>
      <c r="S13" s="104" t="s">
        <v>16</v>
      </c>
      <c r="T13" s="20" t="s">
        <v>15</v>
      </c>
      <c r="U13" s="20" t="s">
        <v>17</v>
      </c>
      <c r="V13" s="69" t="s">
        <v>26</v>
      </c>
      <c r="W13" s="69" t="s">
        <v>27</v>
      </c>
      <c r="X13" s="96" t="s">
        <v>111</v>
      </c>
      <c r="Y13" s="97" t="s">
        <v>111</v>
      </c>
      <c r="Z13" s="104" t="s">
        <v>24</v>
      </c>
      <c r="AA13" s="69" t="s">
        <v>21</v>
      </c>
      <c r="AB13" s="69" t="s">
        <v>15</v>
      </c>
      <c r="AC13" s="69" t="s">
        <v>27</v>
      </c>
      <c r="AD13" s="69" t="s">
        <v>23</v>
      </c>
      <c r="AE13" s="102" t="s">
        <v>111</v>
      </c>
      <c r="AF13" s="103" t="s">
        <v>111</v>
      </c>
      <c r="AG13" s="170" t="s">
        <v>40</v>
      </c>
      <c r="AH13" s="171"/>
      <c r="AI13" s="171"/>
      <c r="AJ13" s="171"/>
      <c r="AK13" s="171"/>
      <c r="AL13" s="171"/>
      <c r="AM13" s="171"/>
      <c r="AN13" s="107" t="s">
        <v>111</v>
      </c>
      <c r="AO13" s="18"/>
      <c r="AP13" s="19">
        <f>COUNTIF(E13:AM13,"=국")</f>
        <v>3</v>
      </c>
      <c r="AQ13" s="19">
        <f>COUNTIF(E13:AM13,"=수")</f>
        <v>3</v>
      </c>
      <c r="AR13" s="19">
        <f>COUNTIF(E13:AM13,"=사")</f>
        <v>2</v>
      </c>
      <c r="AS13" s="19">
        <f>COUNTIF(E13:AM13,"=과")</f>
        <v>0</v>
      </c>
      <c r="AT13" s="19">
        <f>COUNTIF(E13:AM13,"=실")</f>
        <v>2</v>
      </c>
      <c r="AU13" s="19">
        <f>COUNTIF(E13:AN13,"=체")</f>
        <v>1</v>
      </c>
      <c r="AV13" s="19">
        <f>COUNTIF(E13:AM13,"=음")</f>
        <v>1</v>
      </c>
      <c r="AW13" s="19">
        <f>COUNTIF(E13:AM13,"=미")</f>
        <v>2</v>
      </c>
      <c r="AX13" s="19">
        <f>COUNTIF(E13:AM13,"=자")</f>
        <v>3</v>
      </c>
      <c r="AY13" s="19">
        <f>COUNTIF(E13:AM13,"=동")</f>
        <v>1</v>
      </c>
      <c r="AZ13" s="19">
        <f>COUNTIF(E13:AM13,"=진")</f>
        <v>0</v>
      </c>
      <c r="BA13" s="19">
        <f>COUNTIF(E13:AM13,"=의")</f>
        <v>2</v>
      </c>
      <c r="BB13" s="19">
        <f>COUNTIF(E13:AM13,"=선")</f>
        <v>2</v>
      </c>
      <c r="BC13" s="15">
        <f>SUM(AP13:BB13)</f>
        <v>22</v>
      </c>
      <c r="BD13" s="12"/>
      <c r="BE13" s="12"/>
      <c r="BF13" s="12"/>
      <c r="BG13" s="12"/>
      <c r="BH13" s="12"/>
    </row>
    <row r="14" spans="1:60" ht="28.5" customHeight="1">
      <c r="A14" s="185"/>
      <c r="B14" s="13">
        <v>10</v>
      </c>
      <c r="C14" s="13" t="s">
        <v>41</v>
      </c>
      <c r="D14" s="40">
        <v>3</v>
      </c>
      <c r="E14" s="170" t="s">
        <v>30</v>
      </c>
      <c r="F14" s="171"/>
      <c r="G14" s="171"/>
      <c r="H14" s="171"/>
      <c r="I14" s="171"/>
      <c r="J14" s="171"/>
      <c r="K14" s="171"/>
      <c r="L14" s="170" t="s">
        <v>42</v>
      </c>
      <c r="M14" s="171"/>
      <c r="N14" s="171"/>
      <c r="O14" s="171"/>
      <c r="P14" s="171"/>
      <c r="Q14" s="171"/>
      <c r="R14" s="171"/>
      <c r="S14" s="104" t="s">
        <v>16</v>
      </c>
      <c r="T14" s="20" t="s">
        <v>15</v>
      </c>
      <c r="U14" s="20" t="s">
        <v>17</v>
      </c>
      <c r="V14" s="69" t="s">
        <v>26</v>
      </c>
      <c r="W14" s="69" t="s">
        <v>27</v>
      </c>
      <c r="X14" s="96" t="s">
        <v>111</v>
      </c>
      <c r="Y14" s="97" t="s">
        <v>111</v>
      </c>
      <c r="Z14" s="104" t="s">
        <v>24</v>
      </c>
      <c r="AA14" s="69" t="s">
        <v>21</v>
      </c>
      <c r="AB14" s="69" t="s">
        <v>15</v>
      </c>
      <c r="AC14" s="69" t="s">
        <v>27</v>
      </c>
      <c r="AD14" s="69" t="s">
        <v>23</v>
      </c>
      <c r="AE14" s="102" t="s">
        <v>111</v>
      </c>
      <c r="AF14" s="103" t="s">
        <v>111</v>
      </c>
      <c r="AG14" s="104" t="s">
        <v>18</v>
      </c>
      <c r="AH14" s="99" t="s">
        <v>19</v>
      </c>
      <c r="AI14" s="20" t="s">
        <v>23</v>
      </c>
      <c r="AJ14" s="20" t="s">
        <v>17</v>
      </c>
      <c r="AK14" s="20" t="s">
        <v>20</v>
      </c>
      <c r="AL14" s="20" t="s">
        <v>23</v>
      </c>
      <c r="AM14" s="105" t="s">
        <v>15</v>
      </c>
      <c r="AN14" s="107" t="s">
        <v>111</v>
      </c>
      <c r="AO14" s="18"/>
      <c r="AP14" s="19">
        <f>COUNTIF(E14:AM14,"=국")</f>
        <v>3</v>
      </c>
      <c r="AQ14" s="19">
        <f>COUNTIF(E14:AM14,"=수")</f>
        <v>1</v>
      </c>
      <c r="AR14" s="19">
        <f>COUNTIF(E14:AM14,"=사")</f>
        <v>2</v>
      </c>
      <c r="AS14" s="19">
        <f>COUNTIF(E14:AM14,"=과")</f>
        <v>1</v>
      </c>
      <c r="AT14" s="19">
        <f>COUNTIF(E14:AM14,"=실")</f>
        <v>1</v>
      </c>
      <c r="AU14" s="19">
        <f>COUNTIF(E14:AN14,"=체")</f>
        <v>1</v>
      </c>
      <c r="AV14" s="19">
        <f>COUNTIF(E14:AM14,"=음")</f>
        <v>1</v>
      </c>
      <c r="AW14" s="19">
        <f>COUNTIF(E14:AM14,"=미")</f>
        <v>0</v>
      </c>
      <c r="AX14" s="19">
        <f>COUNTIF(E14:AM14,"=자")</f>
        <v>3</v>
      </c>
      <c r="AY14" s="19">
        <f>COUNTIF(E14:AM14,"=동")</f>
        <v>1</v>
      </c>
      <c r="AZ14" s="19">
        <f>COUNTIF(E14:AM14,"=진")</f>
        <v>0</v>
      </c>
      <c r="BA14" s="19">
        <f>COUNTIF(E14:AM14,"=의")</f>
        <v>1</v>
      </c>
      <c r="BB14" s="19">
        <f>COUNTIF(E14:AM14,"=선")</f>
        <v>2</v>
      </c>
      <c r="BC14" s="15">
        <f>SUM(AP14:BB14)</f>
        <v>17</v>
      </c>
      <c r="BD14" s="12"/>
      <c r="BE14" s="12"/>
      <c r="BF14" s="12"/>
      <c r="BG14" s="12"/>
      <c r="BH14" s="12"/>
    </row>
    <row r="15" spans="1:60" ht="28.5" customHeight="1">
      <c r="A15" s="185"/>
      <c r="B15" s="13">
        <v>11</v>
      </c>
      <c r="C15" s="13" t="s">
        <v>43</v>
      </c>
      <c r="D15" s="40">
        <v>5</v>
      </c>
      <c r="E15" s="98" t="s">
        <v>23</v>
      </c>
      <c r="F15" s="20" t="s">
        <v>23</v>
      </c>
      <c r="G15" s="95" t="s">
        <v>27</v>
      </c>
      <c r="H15" s="20" t="s">
        <v>22</v>
      </c>
      <c r="I15" s="20" t="s">
        <v>22</v>
      </c>
      <c r="J15" s="102" t="s">
        <v>111</v>
      </c>
      <c r="K15" s="103" t="s">
        <v>111</v>
      </c>
      <c r="L15" s="104" t="s">
        <v>26</v>
      </c>
      <c r="M15" s="20" t="s">
        <v>20</v>
      </c>
      <c r="N15" s="20" t="s">
        <v>17</v>
      </c>
      <c r="O15" s="20" t="s">
        <v>16</v>
      </c>
      <c r="P15" s="20" t="s">
        <v>19</v>
      </c>
      <c r="Q15" s="20" t="s">
        <v>19</v>
      </c>
      <c r="R15" s="105" t="s">
        <v>15</v>
      </c>
      <c r="S15" s="104" t="s">
        <v>16</v>
      </c>
      <c r="T15" s="20" t="s">
        <v>15</v>
      </c>
      <c r="U15" s="20" t="s">
        <v>17</v>
      </c>
      <c r="V15" s="69" t="s">
        <v>26</v>
      </c>
      <c r="W15" s="69" t="s">
        <v>27</v>
      </c>
      <c r="X15" s="96" t="s">
        <v>111</v>
      </c>
      <c r="Y15" s="97" t="s">
        <v>111</v>
      </c>
      <c r="Z15" s="104" t="s">
        <v>24</v>
      </c>
      <c r="AA15" s="69" t="s">
        <v>21</v>
      </c>
      <c r="AB15" s="69" t="s">
        <v>15</v>
      </c>
      <c r="AC15" s="69" t="s">
        <v>27</v>
      </c>
      <c r="AD15" s="69" t="s">
        <v>23</v>
      </c>
      <c r="AE15" s="102" t="s">
        <v>111</v>
      </c>
      <c r="AF15" s="103" t="s">
        <v>111</v>
      </c>
      <c r="AG15" s="104" t="s">
        <v>18</v>
      </c>
      <c r="AH15" s="95" t="s">
        <v>21</v>
      </c>
      <c r="AI15" s="20" t="s">
        <v>23</v>
      </c>
      <c r="AJ15" s="20" t="s">
        <v>17</v>
      </c>
      <c r="AK15" s="20" t="s">
        <v>20</v>
      </c>
      <c r="AL15" s="20" t="s">
        <v>23</v>
      </c>
      <c r="AM15" s="105" t="s">
        <v>15</v>
      </c>
      <c r="AN15" s="107" t="s">
        <v>111</v>
      </c>
      <c r="AO15" s="18"/>
      <c r="AP15" s="19">
        <f>COUNTIF(E15:AM15,"=국")</f>
        <v>4</v>
      </c>
      <c r="AQ15" s="19">
        <f>COUNTIF(E15:AM15,"=수")</f>
        <v>2</v>
      </c>
      <c r="AR15" s="19">
        <f>COUNTIF(E15:AM15,"=사")</f>
        <v>3</v>
      </c>
      <c r="AS15" s="19">
        <f>COUNTIF(E15:AM15,"=과")</f>
        <v>1</v>
      </c>
      <c r="AT15" s="19">
        <f>COUNTIF(E15:AM15,"=실")</f>
        <v>2</v>
      </c>
      <c r="AU15" s="19">
        <f>COUNTIF(E15:AN15,"=체")</f>
        <v>2</v>
      </c>
      <c r="AV15" s="19">
        <f>COUNTIF(E15:AM15,"=음")</f>
        <v>2</v>
      </c>
      <c r="AW15" s="19">
        <f>COUNTIF(E15:AM15,"=미")</f>
        <v>2</v>
      </c>
      <c r="AX15" s="19">
        <f>COUNTIF(E15:AM15,"=자")</f>
        <v>5</v>
      </c>
      <c r="AY15" s="19">
        <f>COUNTIF(E15:AM15,"=동")</f>
        <v>1</v>
      </c>
      <c r="AZ15" s="19">
        <f>COUNTIF(E15:AM15,"=진")</f>
        <v>0</v>
      </c>
      <c r="BA15" s="19">
        <f>COUNTIF(E15:AM15,"=의")</f>
        <v>2</v>
      </c>
      <c r="BB15" s="19">
        <f>COUNTIF(E15:AM15,"=선")</f>
        <v>3</v>
      </c>
      <c r="BC15" s="15">
        <f>SUM(AP15:BB15)</f>
        <v>29</v>
      </c>
      <c r="BD15" s="12"/>
      <c r="BE15" s="12"/>
      <c r="BF15" s="12"/>
      <c r="BG15" s="12"/>
      <c r="BH15" s="12"/>
    </row>
    <row r="16" spans="1:60" ht="28.5" customHeight="1">
      <c r="A16" s="185"/>
      <c r="B16" s="13">
        <v>12</v>
      </c>
      <c r="C16" s="13" t="s">
        <v>44</v>
      </c>
      <c r="D16" s="40">
        <v>5</v>
      </c>
      <c r="E16" s="98" t="s">
        <v>23</v>
      </c>
      <c r="F16" s="20" t="s">
        <v>23</v>
      </c>
      <c r="G16" s="95" t="s">
        <v>27</v>
      </c>
      <c r="H16" s="20" t="s">
        <v>22</v>
      </c>
      <c r="I16" s="20" t="s">
        <v>22</v>
      </c>
      <c r="J16" s="102" t="s">
        <v>111</v>
      </c>
      <c r="K16" s="103" t="s">
        <v>111</v>
      </c>
      <c r="L16" s="104" t="s">
        <v>26</v>
      </c>
      <c r="M16" s="20" t="s">
        <v>20</v>
      </c>
      <c r="N16" s="20" t="s">
        <v>17</v>
      </c>
      <c r="O16" s="20" t="s">
        <v>16</v>
      </c>
      <c r="P16" s="20" t="s">
        <v>19</v>
      </c>
      <c r="Q16" s="20" t="s">
        <v>19</v>
      </c>
      <c r="R16" s="105" t="s">
        <v>15</v>
      </c>
      <c r="S16" s="104" t="s">
        <v>16</v>
      </c>
      <c r="T16" s="20" t="s">
        <v>15</v>
      </c>
      <c r="U16" s="20" t="s">
        <v>17</v>
      </c>
      <c r="V16" s="69" t="s">
        <v>26</v>
      </c>
      <c r="W16" s="69" t="s">
        <v>27</v>
      </c>
      <c r="X16" s="96" t="s">
        <v>111</v>
      </c>
      <c r="Y16" s="97" t="s">
        <v>111</v>
      </c>
      <c r="Z16" s="104" t="s">
        <v>24</v>
      </c>
      <c r="AA16" s="69" t="s">
        <v>21</v>
      </c>
      <c r="AB16" s="69" t="s">
        <v>15</v>
      </c>
      <c r="AC16" s="69" t="s">
        <v>27</v>
      </c>
      <c r="AD16" s="69" t="s">
        <v>23</v>
      </c>
      <c r="AE16" s="102" t="s">
        <v>111</v>
      </c>
      <c r="AF16" s="103" t="s">
        <v>111</v>
      </c>
      <c r="AG16" s="104" t="s">
        <v>18</v>
      </c>
      <c r="AH16" s="20" t="s">
        <v>18</v>
      </c>
      <c r="AI16" s="20" t="s">
        <v>23</v>
      </c>
      <c r="AJ16" s="20" t="s">
        <v>17</v>
      </c>
      <c r="AK16" s="20" t="s">
        <v>20</v>
      </c>
      <c r="AL16" s="20" t="s">
        <v>23</v>
      </c>
      <c r="AM16" s="105" t="s">
        <v>15</v>
      </c>
      <c r="AN16" s="107" t="s">
        <v>111</v>
      </c>
      <c r="AO16" s="18"/>
      <c r="AP16" s="19">
        <f>COUNTIF(E16:AM16,"=국")</f>
        <v>4</v>
      </c>
      <c r="AQ16" s="19">
        <f>COUNTIF(E16:AM16,"=수")</f>
        <v>2</v>
      </c>
      <c r="AR16" s="19">
        <f>COUNTIF(E16:AM16,"=사")</f>
        <v>3</v>
      </c>
      <c r="AS16" s="19">
        <f>COUNTIF(E16:AM16,"=과")</f>
        <v>2</v>
      </c>
      <c r="AT16" s="19">
        <f>COUNTIF(E16:AM16,"=실")</f>
        <v>2</v>
      </c>
      <c r="AU16" s="19">
        <f>COUNTIF(E16:AN16,"=체")</f>
        <v>2</v>
      </c>
      <c r="AV16" s="19">
        <f>COUNTIF(E16:AM16,"=음")</f>
        <v>1</v>
      </c>
      <c r="AW16" s="19">
        <f>COUNTIF(E16:AM16,"=미")</f>
        <v>2</v>
      </c>
      <c r="AX16" s="19">
        <f>COUNTIF(E16:AM16,"=자")</f>
        <v>5</v>
      </c>
      <c r="AY16" s="19">
        <f>COUNTIF(E16:AM16,"=동")</f>
        <v>1</v>
      </c>
      <c r="AZ16" s="19">
        <f>COUNTIF(E16:AM16,"=진")</f>
        <v>0</v>
      </c>
      <c r="BA16" s="19">
        <f>COUNTIF(E16:AM16,"=의")</f>
        <v>2</v>
      </c>
      <c r="BB16" s="19">
        <f>COUNTIF(E16:AM16,"=선")</f>
        <v>3</v>
      </c>
      <c r="BC16" s="15">
        <f>SUM(AP16:BB16)</f>
        <v>29</v>
      </c>
      <c r="BD16" s="12"/>
      <c r="BE16" s="12"/>
      <c r="BF16" s="12"/>
      <c r="BG16" s="12"/>
      <c r="BH16" s="12"/>
    </row>
    <row r="17" spans="1:60" ht="28.5" customHeight="1">
      <c r="A17" s="186"/>
      <c r="B17" s="13">
        <v>13</v>
      </c>
      <c r="C17" s="13" t="s">
        <v>45</v>
      </c>
      <c r="D17" s="40">
        <v>4</v>
      </c>
      <c r="E17" s="170" t="s">
        <v>30</v>
      </c>
      <c r="F17" s="171"/>
      <c r="G17" s="171"/>
      <c r="H17" s="171"/>
      <c r="I17" s="171"/>
      <c r="J17" s="171"/>
      <c r="K17" s="171"/>
      <c r="L17" s="104" t="s">
        <v>26</v>
      </c>
      <c r="M17" s="20" t="s">
        <v>20</v>
      </c>
      <c r="N17" s="20" t="s">
        <v>17</v>
      </c>
      <c r="O17" s="20" t="s">
        <v>16</v>
      </c>
      <c r="P17" s="20" t="s">
        <v>19</v>
      </c>
      <c r="Q17" s="20" t="s">
        <v>19</v>
      </c>
      <c r="R17" s="105" t="s">
        <v>15</v>
      </c>
      <c r="S17" s="104" t="s">
        <v>16</v>
      </c>
      <c r="T17" s="20" t="s">
        <v>15</v>
      </c>
      <c r="U17" s="20" t="s">
        <v>17</v>
      </c>
      <c r="V17" s="69" t="s">
        <v>26</v>
      </c>
      <c r="W17" s="69" t="s">
        <v>27</v>
      </c>
      <c r="X17" s="96" t="s">
        <v>111</v>
      </c>
      <c r="Y17" s="97" t="s">
        <v>111</v>
      </c>
      <c r="Z17" s="104" t="s">
        <v>24</v>
      </c>
      <c r="AA17" s="20" t="s">
        <v>21</v>
      </c>
      <c r="AB17" s="20" t="s">
        <v>15</v>
      </c>
      <c r="AC17" s="20" t="s">
        <v>27</v>
      </c>
      <c r="AD17" s="20" t="s">
        <v>23</v>
      </c>
      <c r="AE17" s="102" t="s">
        <v>111</v>
      </c>
      <c r="AF17" s="103" t="s">
        <v>111</v>
      </c>
      <c r="AG17" s="104" t="s">
        <v>18</v>
      </c>
      <c r="AH17" s="20" t="s">
        <v>18</v>
      </c>
      <c r="AI17" s="20" t="s">
        <v>23</v>
      </c>
      <c r="AJ17" s="20" t="s">
        <v>17</v>
      </c>
      <c r="AK17" s="20" t="s">
        <v>20</v>
      </c>
      <c r="AL17" s="20" t="s">
        <v>23</v>
      </c>
      <c r="AM17" s="105" t="s">
        <v>15</v>
      </c>
      <c r="AN17" s="107" t="s">
        <v>111</v>
      </c>
      <c r="AO17" s="18"/>
      <c r="AP17" s="19">
        <f>COUNTIF(E17:AM17,"=국")</f>
        <v>4</v>
      </c>
      <c r="AQ17" s="19">
        <f>COUNTIF(E17:AM17,"=수")</f>
        <v>2</v>
      </c>
      <c r="AR17" s="19">
        <f>COUNTIF(E17:AM17,"=사")</f>
        <v>3</v>
      </c>
      <c r="AS17" s="19">
        <f>COUNTIF(E17:AM17,"=과")</f>
        <v>2</v>
      </c>
      <c r="AT17" s="19">
        <f>COUNTIF(E17:AM17,"=실")</f>
        <v>2</v>
      </c>
      <c r="AU17" s="19">
        <f>COUNTIF(E17:AN17,"=체")</f>
        <v>2</v>
      </c>
      <c r="AV17" s="19">
        <f>COUNTIF(E17:AM17,"=음")</f>
        <v>1</v>
      </c>
      <c r="AW17" s="19">
        <f>COUNTIF(E17:AM17,"=미")</f>
        <v>0</v>
      </c>
      <c r="AX17" s="19">
        <f>COUNTIF(E17:AM17,"=자")</f>
        <v>3</v>
      </c>
      <c r="AY17" s="19">
        <f>COUNTIF(E17:AM17,"=동")</f>
        <v>1</v>
      </c>
      <c r="AZ17" s="19">
        <f>COUNTIF(E17:AM17,"=진")</f>
        <v>0</v>
      </c>
      <c r="BA17" s="19">
        <f>COUNTIF(E17:AM17,"=의")</f>
        <v>2</v>
      </c>
      <c r="BB17" s="19">
        <f>COUNTIF(E17:AM17,"=선")</f>
        <v>2</v>
      </c>
      <c r="BC17" s="15">
        <f>SUM(AP17:BB17)</f>
        <v>24</v>
      </c>
      <c r="BD17" s="12"/>
      <c r="BE17" s="12"/>
      <c r="BF17" s="12"/>
      <c r="BG17" s="12"/>
      <c r="BH17" s="12"/>
    </row>
    <row r="18" spans="1:60" ht="28.5" customHeight="1">
      <c r="A18" s="134">
        <v>6</v>
      </c>
      <c r="B18" s="13">
        <v>14</v>
      </c>
      <c r="C18" s="13" t="s">
        <v>46</v>
      </c>
      <c r="D18" s="40">
        <v>4</v>
      </c>
      <c r="E18" s="98" t="s">
        <v>23</v>
      </c>
      <c r="F18" s="20" t="s">
        <v>23</v>
      </c>
      <c r="G18" s="95" t="s">
        <v>27</v>
      </c>
      <c r="H18" s="20" t="s">
        <v>22</v>
      </c>
      <c r="I18" s="20" t="s">
        <v>22</v>
      </c>
      <c r="J18" s="102" t="s">
        <v>111</v>
      </c>
      <c r="K18" s="103" t="s">
        <v>111</v>
      </c>
      <c r="L18" s="104" t="s">
        <v>26</v>
      </c>
      <c r="M18" s="20" t="s">
        <v>20</v>
      </c>
      <c r="N18" s="20" t="s">
        <v>17</v>
      </c>
      <c r="O18" s="20" t="s">
        <v>16</v>
      </c>
      <c r="P18" s="20" t="s">
        <v>19</v>
      </c>
      <c r="Q18" s="20" t="s">
        <v>19</v>
      </c>
      <c r="R18" s="105" t="s">
        <v>15</v>
      </c>
      <c r="S18" s="170" t="s">
        <v>47</v>
      </c>
      <c r="T18" s="171"/>
      <c r="U18" s="171"/>
      <c r="V18" s="171"/>
      <c r="W18" s="171"/>
      <c r="X18" s="171"/>
      <c r="Y18" s="171"/>
      <c r="Z18" s="104" t="s">
        <v>24</v>
      </c>
      <c r="AA18" s="69" t="s">
        <v>21</v>
      </c>
      <c r="AB18" s="69" t="s">
        <v>15</v>
      </c>
      <c r="AC18" s="69" t="s">
        <v>27</v>
      </c>
      <c r="AD18" s="69" t="s">
        <v>23</v>
      </c>
      <c r="AE18" s="102" t="s">
        <v>111</v>
      </c>
      <c r="AF18" s="103" t="s">
        <v>111</v>
      </c>
      <c r="AG18" s="104" t="s">
        <v>18</v>
      </c>
      <c r="AH18" s="20" t="s">
        <v>18</v>
      </c>
      <c r="AI18" s="20" t="s">
        <v>23</v>
      </c>
      <c r="AJ18" s="20" t="s">
        <v>17</v>
      </c>
      <c r="AK18" s="20" t="s">
        <v>20</v>
      </c>
      <c r="AL18" s="20" t="s">
        <v>23</v>
      </c>
      <c r="AM18" s="105" t="s">
        <v>15</v>
      </c>
      <c r="AN18" s="107" t="s">
        <v>111</v>
      </c>
      <c r="AO18" s="18"/>
      <c r="AP18" s="19">
        <f>COUNTIF(E18:AM18,"=국")</f>
        <v>3</v>
      </c>
      <c r="AQ18" s="19">
        <f>COUNTIF(E18:AM18,"=수")</f>
        <v>1</v>
      </c>
      <c r="AR18" s="19">
        <f>COUNTIF(E18:AM18,"=사")</f>
        <v>2</v>
      </c>
      <c r="AS18" s="19">
        <f>COUNTIF(E18:AM18,"=과")</f>
        <v>2</v>
      </c>
      <c r="AT18" s="19">
        <f>COUNTIF(E18:AM18,"=실")</f>
        <v>2</v>
      </c>
      <c r="AU18" s="19">
        <f>COUNTIF(E18:AN18,"=체")</f>
        <v>2</v>
      </c>
      <c r="AV18" s="19">
        <f>COUNTIF(E18:AM18,"=음")</f>
        <v>1</v>
      </c>
      <c r="AW18" s="19">
        <f>COUNTIF(E18:AM18,"=미")</f>
        <v>2</v>
      </c>
      <c r="AX18" s="19">
        <f>COUNTIF(E18:AM18,"=자")</f>
        <v>5</v>
      </c>
      <c r="AY18" s="19">
        <f>COUNTIF(E18:AM18,"=동")</f>
        <v>1</v>
      </c>
      <c r="AZ18" s="19">
        <f>COUNTIF(E18:AM18,"=진")</f>
        <v>0</v>
      </c>
      <c r="BA18" s="19">
        <f>COUNTIF(E18:AM18,"=의")</f>
        <v>1</v>
      </c>
      <c r="BB18" s="19">
        <f>COUNTIF(E18:AM18,"=선")</f>
        <v>2</v>
      </c>
      <c r="BC18" s="15">
        <f>SUM(AP18:BB18)</f>
        <v>24</v>
      </c>
      <c r="BD18" s="12"/>
      <c r="BE18" s="12"/>
      <c r="BF18" s="12"/>
      <c r="BG18" s="12"/>
      <c r="BH18" s="12"/>
    </row>
    <row r="19" spans="1:60" ht="28.5" customHeight="1">
      <c r="A19" s="185"/>
      <c r="B19" s="13">
        <v>15</v>
      </c>
      <c r="C19" s="13" t="s">
        <v>48</v>
      </c>
      <c r="D19" s="40">
        <v>5</v>
      </c>
      <c r="E19" s="104" t="s">
        <v>15</v>
      </c>
      <c r="F19" s="20" t="s">
        <v>23</v>
      </c>
      <c r="G19" s="20" t="s">
        <v>16</v>
      </c>
      <c r="H19" s="20" t="s">
        <v>22</v>
      </c>
      <c r="I19" s="20" t="s">
        <v>22</v>
      </c>
      <c r="J19" s="102" t="s">
        <v>111</v>
      </c>
      <c r="K19" s="103" t="s">
        <v>111</v>
      </c>
      <c r="L19" s="104" t="s">
        <v>26</v>
      </c>
      <c r="M19" s="20" t="s">
        <v>20</v>
      </c>
      <c r="N19" s="20" t="s">
        <v>17</v>
      </c>
      <c r="O19" s="20" t="s">
        <v>16</v>
      </c>
      <c r="P19" s="20" t="s">
        <v>19</v>
      </c>
      <c r="Q19" s="20" t="s">
        <v>19</v>
      </c>
      <c r="R19" s="105" t="s">
        <v>15</v>
      </c>
      <c r="S19" s="104" t="s">
        <v>16</v>
      </c>
      <c r="T19" s="20" t="s">
        <v>15</v>
      </c>
      <c r="U19" s="20" t="s">
        <v>17</v>
      </c>
      <c r="V19" s="69" t="s">
        <v>26</v>
      </c>
      <c r="W19" s="69" t="s">
        <v>27</v>
      </c>
      <c r="X19" s="96" t="s">
        <v>111</v>
      </c>
      <c r="Y19" s="97" t="s">
        <v>111</v>
      </c>
      <c r="Z19" s="104" t="s">
        <v>24</v>
      </c>
      <c r="AA19" s="69" t="s">
        <v>21</v>
      </c>
      <c r="AB19" s="69" t="s">
        <v>15</v>
      </c>
      <c r="AC19" s="69" t="s">
        <v>27</v>
      </c>
      <c r="AD19" s="69" t="s">
        <v>23</v>
      </c>
      <c r="AE19" s="102" t="s">
        <v>111</v>
      </c>
      <c r="AF19" s="103" t="s">
        <v>111</v>
      </c>
      <c r="AG19" s="104" t="s">
        <v>18</v>
      </c>
      <c r="AH19" s="20" t="s">
        <v>18</v>
      </c>
      <c r="AI19" s="20" t="s">
        <v>23</v>
      </c>
      <c r="AJ19" s="20" t="s">
        <v>17</v>
      </c>
      <c r="AK19" s="20" t="s">
        <v>20</v>
      </c>
      <c r="AL19" s="20" t="s">
        <v>23</v>
      </c>
      <c r="AM19" s="105" t="s">
        <v>15</v>
      </c>
      <c r="AN19" s="107" t="s">
        <v>111</v>
      </c>
      <c r="AO19" s="18"/>
      <c r="AP19" s="19">
        <f>COUNTIF(E19:AM19,"=국")</f>
        <v>5</v>
      </c>
      <c r="AQ19" s="19">
        <f>COUNTIF(E19:AM19,"=수")</f>
        <v>3</v>
      </c>
      <c r="AR19" s="19">
        <f>COUNTIF(E19:AM19,"=사")</f>
        <v>3</v>
      </c>
      <c r="AS19" s="19">
        <f>COUNTIF(E19:AM19,"=과")</f>
        <v>2</v>
      </c>
      <c r="AT19" s="19">
        <f>COUNTIF(E19:AM19,"=실")</f>
        <v>2</v>
      </c>
      <c r="AU19" s="19">
        <f>COUNTIF(E19:AN19,"=체")</f>
        <v>2</v>
      </c>
      <c r="AV19" s="19">
        <f>COUNTIF(E19:AM19,"=음")</f>
        <v>1</v>
      </c>
      <c r="AW19" s="19">
        <f>COUNTIF(E19:AM19,"=미")</f>
        <v>2</v>
      </c>
      <c r="AX19" s="19">
        <f>COUNTIF(E19:AM19,"=자")</f>
        <v>4</v>
      </c>
      <c r="AY19" s="19">
        <f>COUNTIF(E19:AM19,"=동")</f>
        <v>1</v>
      </c>
      <c r="AZ19" s="19">
        <f>COUNTIF(E19:AM19,"=진")</f>
        <v>0</v>
      </c>
      <c r="BA19" s="19">
        <f>COUNTIF(E19:AM19,"=의")</f>
        <v>2</v>
      </c>
      <c r="BB19" s="19">
        <f>COUNTIF(E19:AM19,"=선")</f>
        <v>2</v>
      </c>
      <c r="BC19" s="15">
        <f>SUM(AP19:BB19)</f>
        <v>29</v>
      </c>
      <c r="BD19" s="12"/>
      <c r="BE19" s="12"/>
      <c r="BF19" s="12"/>
      <c r="BG19" s="12"/>
      <c r="BH19" s="12"/>
    </row>
    <row r="20" spans="1:60" ht="28.5" customHeight="1">
      <c r="A20" s="185"/>
      <c r="B20" s="13">
        <v>16</v>
      </c>
      <c r="C20" s="13" t="s">
        <v>49</v>
      </c>
      <c r="D20" s="40">
        <v>5</v>
      </c>
      <c r="E20" s="104" t="s">
        <v>15</v>
      </c>
      <c r="F20" s="20" t="s">
        <v>23</v>
      </c>
      <c r="G20" s="20" t="s">
        <v>16</v>
      </c>
      <c r="H20" s="20" t="s">
        <v>22</v>
      </c>
      <c r="I20" s="20" t="s">
        <v>22</v>
      </c>
      <c r="J20" s="102" t="s">
        <v>111</v>
      </c>
      <c r="K20" s="103" t="s">
        <v>111</v>
      </c>
      <c r="L20" s="104" t="s">
        <v>26</v>
      </c>
      <c r="M20" s="20" t="s">
        <v>20</v>
      </c>
      <c r="N20" s="20" t="s">
        <v>17</v>
      </c>
      <c r="O20" s="20" t="s">
        <v>16</v>
      </c>
      <c r="P20" s="20" t="s">
        <v>19</v>
      </c>
      <c r="Q20" s="20" t="s">
        <v>19</v>
      </c>
      <c r="R20" s="105" t="s">
        <v>15</v>
      </c>
      <c r="S20" s="104" t="s">
        <v>16</v>
      </c>
      <c r="T20" s="20" t="s">
        <v>15</v>
      </c>
      <c r="U20" s="20" t="s">
        <v>17</v>
      </c>
      <c r="V20" s="69" t="s">
        <v>26</v>
      </c>
      <c r="W20" s="69" t="s">
        <v>27</v>
      </c>
      <c r="X20" s="96" t="s">
        <v>111</v>
      </c>
      <c r="Y20" s="97" t="s">
        <v>111</v>
      </c>
      <c r="Z20" s="104" t="s">
        <v>24</v>
      </c>
      <c r="AA20" s="69" t="s">
        <v>21</v>
      </c>
      <c r="AB20" s="69" t="s">
        <v>15</v>
      </c>
      <c r="AC20" s="69" t="s">
        <v>27</v>
      </c>
      <c r="AD20" s="69" t="s">
        <v>23</v>
      </c>
      <c r="AE20" s="102" t="s">
        <v>111</v>
      </c>
      <c r="AF20" s="103" t="s">
        <v>111</v>
      </c>
      <c r="AG20" s="104" t="s">
        <v>18</v>
      </c>
      <c r="AH20" s="20" t="s">
        <v>18</v>
      </c>
      <c r="AI20" s="20" t="s">
        <v>23</v>
      </c>
      <c r="AJ20" s="20" t="s">
        <v>17</v>
      </c>
      <c r="AK20" s="20" t="s">
        <v>20</v>
      </c>
      <c r="AL20" s="20" t="s">
        <v>23</v>
      </c>
      <c r="AM20" s="105" t="s">
        <v>15</v>
      </c>
      <c r="AN20" s="107" t="s">
        <v>111</v>
      </c>
      <c r="AO20" s="18"/>
      <c r="AP20" s="19">
        <f>COUNTIF(E20:AM20,"=국")</f>
        <v>5</v>
      </c>
      <c r="AQ20" s="19">
        <f>COUNTIF(E20:AM20,"=수")</f>
        <v>3</v>
      </c>
      <c r="AR20" s="19">
        <f>COUNTIF(E20:AM20,"=사")</f>
        <v>3</v>
      </c>
      <c r="AS20" s="19">
        <f>COUNTIF(E20:AM20,"=과")</f>
        <v>2</v>
      </c>
      <c r="AT20" s="19">
        <f>COUNTIF(E20:AM20,"=실")</f>
        <v>2</v>
      </c>
      <c r="AU20" s="19">
        <f>COUNTIF(E20:AN20,"=체")</f>
        <v>2</v>
      </c>
      <c r="AV20" s="19">
        <f>COUNTIF(E20:AM20,"=음")</f>
        <v>1</v>
      </c>
      <c r="AW20" s="19">
        <f>COUNTIF(E20:AM20,"=미")</f>
        <v>2</v>
      </c>
      <c r="AX20" s="19">
        <f>COUNTIF(E20:AM20,"=자")</f>
        <v>4</v>
      </c>
      <c r="AY20" s="19">
        <f>COUNTIF(E20:AM20,"=동")</f>
        <v>1</v>
      </c>
      <c r="AZ20" s="19">
        <f>COUNTIF(E20:AM20,"=진")</f>
        <v>0</v>
      </c>
      <c r="BA20" s="19">
        <f>COUNTIF(E20:AM20,"=의")</f>
        <v>2</v>
      </c>
      <c r="BB20" s="19">
        <f>COUNTIF(E20:AM20,"=선")</f>
        <v>2</v>
      </c>
      <c r="BC20" s="15">
        <f>SUM(AP20:BB20)</f>
        <v>29</v>
      </c>
      <c r="BD20" s="12"/>
      <c r="BE20" s="12"/>
      <c r="BF20" s="12"/>
      <c r="BG20" s="12"/>
      <c r="BH20" s="12"/>
    </row>
    <row r="21" spans="1:60" ht="28.5" customHeight="1">
      <c r="A21" s="186"/>
      <c r="B21" s="13">
        <v>17</v>
      </c>
      <c r="C21" s="13" t="s">
        <v>50</v>
      </c>
      <c r="D21" s="40">
        <v>5</v>
      </c>
      <c r="E21" s="104" t="s">
        <v>15</v>
      </c>
      <c r="F21" s="20" t="s">
        <v>23</v>
      </c>
      <c r="G21" s="20" t="s">
        <v>16</v>
      </c>
      <c r="H21" s="20" t="s">
        <v>22</v>
      </c>
      <c r="I21" s="20" t="s">
        <v>21</v>
      </c>
      <c r="J21" s="102" t="s">
        <v>111</v>
      </c>
      <c r="K21" s="103" t="s">
        <v>111</v>
      </c>
      <c r="L21" s="104" t="s">
        <v>26</v>
      </c>
      <c r="M21" s="20" t="s">
        <v>20</v>
      </c>
      <c r="N21" s="20" t="s">
        <v>17</v>
      </c>
      <c r="O21" s="20" t="s">
        <v>16</v>
      </c>
      <c r="P21" s="95" t="s">
        <v>23</v>
      </c>
      <c r="Q21" s="20" t="s">
        <v>19</v>
      </c>
      <c r="R21" s="105" t="s">
        <v>15</v>
      </c>
      <c r="S21" s="104" t="s">
        <v>16</v>
      </c>
      <c r="T21" s="20" t="s">
        <v>15</v>
      </c>
      <c r="U21" s="20" t="s">
        <v>17</v>
      </c>
      <c r="V21" s="69" t="s">
        <v>26</v>
      </c>
      <c r="W21" s="69" t="s">
        <v>27</v>
      </c>
      <c r="X21" s="96" t="s">
        <v>111</v>
      </c>
      <c r="Y21" s="97" t="s">
        <v>111</v>
      </c>
      <c r="Z21" s="104" t="s">
        <v>24</v>
      </c>
      <c r="AA21" s="69" t="s">
        <v>21</v>
      </c>
      <c r="AB21" s="69" t="s">
        <v>15</v>
      </c>
      <c r="AC21" s="69" t="s">
        <v>27</v>
      </c>
      <c r="AD21" s="69" t="s">
        <v>23</v>
      </c>
      <c r="AE21" s="102" t="s">
        <v>111</v>
      </c>
      <c r="AF21" s="103" t="s">
        <v>111</v>
      </c>
      <c r="AG21" s="104" t="s">
        <v>18</v>
      </c>
      <c r="AH21" s="20" t="s">
        <v>18</v>
      </c>
      <c r="AI21" s="20" t="s">
        <v>23</v>
      </c>
      <c r="AJ21" s="20" t="s">
        <v>17</v>
      </c>
      <c r="AK21" s="20" t="s">
        <v>20</v>
      </c>
      <c r="AL21" s="20" t="s">
        <v>23</v>
      </c>
      <c r="AM21" s="105" t="s">
        <v>15</v>
      </c>
      <c r="AN21" s="107" t="s">
        <v>111</v>
      </c>
      <c r="AO21" s="18"/>
      <c r="AP21" s="19">
        <f>COUNTIF(E21:AM21,"=국")</f>
        <v>5</v>
      </c>
      <c r="AQ21" s="19">
        <f>COUNTIF(E21:AM21,"=수")</f>
        <v>3</v>
      </c>
      <c r="AR21" s="19">
        <f>COUNTIF(E21:AM21,"=사")</f>
        <v>3</v>
      </c>
      <c r="AS21" s="19">
        <f>COUNTIF(E21:AM21,"=과")</f>
        <v>2</v>
      </c>
      <c r="AT21" s="19">
        <f>COUNTIF(E21:AM21,"=실")</f>
        <v>1</v>
      </c>
      <c r="AU21" s="19">
        <f>COUNTIF(E21:AN21,"=체")</f>
        <v>2</v>
      </c>
      <c r="AV21" s="19">
        <f>COUNTIF(E21:AM21,"=음")</f>
        <v>2</v>
      </c>
      <c r="AW21" s="19">
        <f>COUNTIF(E21:AM21,"=미")</f>
        <v>1</v>
      </c>
      <c r="AX21" s="19">
        <f>COUNTIF(E21:AM21,"=자")</f>
        <v>5</v>
      </c>
      <c r="AY21" s="19">
        <f>COUNTIF(E21:AM21,"=동")</f>
        <v>1</v>
      </c>
      <c r="AZ21" s="19">
        <f>COUNTIF(E21:AM21,"=진")</f>
        <v>0</v>
      </c>
      <c r="BA21" s="19">
        <f>COUNTIF(E21:AM21,"=의")</f>
        <v>2</v>
      </c>
      <c r="BB21" s="19">
        <f>COUNTIF(E21:AM21,"=선")</f>
        <v>2</v>
      </c>
      <c r="BC21" s="15">
        <f>SUM(AP21:BB21)</f>
        <v>29</v>
      </c>
      <c r="BD21" s="12"/>
      <c r="BE21" s="12"/>
      <c r="BF21" s="12"/>
      <c r="BG21" s="12"/>
      <c r="BH21" s="12"/>
    </row>
    <row r="22" spans="1:60" ht="28.5" customHeight="1">
      <c r="A22" s="134">
        <v>7</v>
      </c>
      <c r="B22" s="13">
        <v>18</v>
      </c>
      <c r="C22" s="13" t="s">
        <v>51</v>
      </c>
      <c r="D22" s="40">
        <v>5</v>
      </c>
      <c r="E22" s="104" t="s">
        <v>15</v>
      </c>
      <c r="F22" s="20" t="s">
        <v>23</v>
      </c>
      <c r="G22" s="20" t="s">
        <v>16</v>
      </c>
      <c r="H22" s="20" t="s">
        <v>22</v>
      </c>
      <c r="I22" s="20" t="s">
        <v>21</v>
      </c>
      <c r="J22" s="102" t="s">
        <v>111</v>
      </c>
      <c r="K22" s="103" t="s">
        <v>111</v>
      </c>
      <c r="L22" s="104" t="s">
        <v>26</v>
      </c>
      <c r="M22" s="20" t="s">
        <v>20</v>
      </c>
      <c r="N22" s="20" t="s">
        <v>17</v>
      </c>
      <c r="O22" s="20" t="s">
        <v>16</v>
      </c>
      <c r="P22" s="95" t="s">
        <v>23</v>
      </c>
      <c r="Q22" s="20" t="s">
        <v>19</v>
      </c>
      <c r="R22" s="105" t="s">
        <v>15</v>
      </c>
      <c r="S22" s="104" t="s">
        <v>16</v>
      </c>
      <c r="T22" s="20" t="s">
        <v>15</v>
      </c>
      <c r="U22" s="20" t="s">
        <v>17</v>
      </c>
      <c r="V22" s="69" t="s">
        <v>26</v>
      </c>
      <c r="W22" s="69" t="s">
        <v>27</v>
      </c>
      <c r="X22" s="96" t="s">
        <v>111</v>
      </c>
      <c r="Y22" s="97" t="s">
        <v>111</v>
      </c>
      <c r="Z22" s="104" t="s">
        <v>24</v>
      </c>
      <c r="AA22" s="69" t="s">
        <v>21</v>
      </c>
      <c r="AB22" s="69" t="s">
        <v>15</v>
      </c>
      <c r="AC22" s="69" t="s">
        <v>27</v>
      </c>
      <c r="AD22" s="69" t="s">
        <v>23</v>
      </c>
      <c r="AE22" s="102" t="s">
        <v>111</v>
      </c>
      <c r="AF22" s="103" t="s">
        <v>111</v>
      </c>
      <c r="AG22" s="104" t="s">
        <v>18</v>
      </c>
      <c r="AH22" s="20" t="s">
        <v>18</v>
      </c>
      <c r="AI22" s="20" t="s">
        <v>23</v>
      </c>
      <c r="AJ22" s="20" t="s">
        <v>17</v>
      </c>
      <c r="AK22" s="20" t="s">
        <v>20</v>
      </c>
      <c r="AL22" s="20" t="s">
        <v>23</v>
      </c>
      <c r="AM22" s="105" t="s">
        <v>15</v>
      </c>
      <c r="AN22" s="107" t="s">
        <v>111</v>
      </c>
      <c r="AO22" s="18"/>
      <c r="AP22" s="19">
        <f>COUNTIF(E22:AM22,"=국")</f>
        <v>5</v>
      </c>
      <c r="AQ22" s="19">
        <f>COUNTIF(E22:AM22,"=수")</f>
        <v>3</v>
      </c>
      <c r="AR22" s="19">
        <f>COUNTIF(E22:AM22,"=사")</f>
        <v>3</v>
      </c>
      <c r="AS22" s="19">
        <f>COUNTIF(E22:AM22,"=과")</f>
        <v>2</v>
      </c>
      <c r="AT22" s="19">
        <f>COUNTIF(E22:AM22,"=실")</f>
        <v>1</v>
      </c>
      <c r="AU22" s="19">
        <f>COUNTIF(E22:AN22,"=체")</f>
        <v>2</v>
      </c>
      <c r="AV22" s="19">
        <f>COUNTIF(E22:AM22,"=음")</f>
        <v>2</v>
      </c>
      <c r="AW22" s="19">
        <f>COUNTIF(E22:AM22,"=미")</f>
        <v>1</v>
      </c>
      <c r="AX22" s="19">
        <f>COUNTIF(E22:AM22,"=자")</f>
        <v>5</v>
      </c>
      <c r="AY22" s="19">
        <f>COUNTIF(E22:AM22,"=동")</f>
        <v>1</v>
      </c>
      <c r="AZ22" s="19">
        <f>COUNTIF(E22:AM22,"=진")</f>
        <v>0</v>
      </c>
      <c r="BA22" s="19">
        <f>COUNTIF(E22:AM22,"=의")</f>
        <v>2</v>
      </c>
      <c r="BB22" s="19">
        <f>COUNTIF(E22:AM22,"=선")</f>
        <v>2</v>
      </c>
      <c r="BC22" s="15">
        <f>SUM(AP22:BB22)</f>
        <v>29</v>
      </c>
      <c r="BD22" s="12"/>
      <c r="BE22" s="12"/>
      <c r="BF22" s="12"/>
      <c r="BG22" s="12"/>
      <c r="BH22" s="12"/>
    </row>
    <row r="23" spans="1:60" ht="28.5" customHeight="1">
      <c r="A23" s="185"/>
      <c r="B23" s="13">
        <v>19</v>
      </c>
      <c r="C23" s="20" t="s">
        <v>52</v>
      </c>
      <c r="D23" s="40">
        <v>5</v>
      </c>
      <c r="E23" s="104" t="s">
        <v>15</v>
      </c>
      <c r="F23" s="20" t="s">
        <v>23</v>
      </c>
      <c r="G23" s="20" t="s">
        <v>16</v>
      </c>
      <c r="H23" s="20" t="s">
        <v>22</v>
      </c>
      <c r="I23" s="20" t="s">
        <v>21</v>
      </c>
      <c r="J23" s="102" t="s">
        <v>111</v>
      </c>
      <c r="K23" s="103" t="s">
        <v>111</v>
      </c>
      <c r="L23" s="104" t="s">
        <v>26</v>
      </c>
      <c r="M23" s="20" t="s">
        <v>20</v>
      </c>
      <c r="N23" s="20" t="s">
        <v>17</v>
      </c>
      <c r="O23" s="20" t="s">
        <v>16</v>
      </c>
      <c r="P23" s="95" t="s">
        <v>23</v>
      </c>
      <c r="Q23" s="20" t="s">
        <v>19</v>
      </c>
      <c r="R23" s="105" t="s">
        <v>15</v>
      </c>
      <c r="S23" s="104" t="s">
        <v>16</v>
      </c>
      <c r="T23" s="20" t="s">
        <v>15</v>
      </c>
      <c r="U23" s="20" t="s">
        <v>17</v>
      </c>
      <c r="V23" s="69" t="s">
        <v>26</v>
      </c>
      <c r="W23" s="69" t="s">
        <v>27</v>
      </c>
      <c r="X23" s="96" t="s">
        <v>111</v>
      </c>
      <c r="Y23" s="97" t="s">
        <v>111</v>
      </c>
      <c r="Z23" s="104" t="s">
        <v>24</v>
      </c>
      <c r="AA23" s="69" t="s">
        <v>21</v>
      </c>
      <c r="AB23" s="69" t="s">
        <v>15</v>
      </c>
      <c r="AC23" s="69" t="s">
        <v>27</v>
      </c>
      <c r="AD23" s="69" t="s">
        <v>23</v>
      </c>
      <c r="AE23" s="102" t="s">
        <v>111</v>
      </c>
      <c r="AF23" s="103" t="s">
        <v>111</v>
      </c>
      <c r="AG23" s="104" t="s">
        <v>18</v>
      </c>
      <c r="AH23" s="20" t="s">
        <v>18</v>
      </c>
      <c r="AI23" s="20" t="s">
        <v>23</v>
      </c>
      <c r="AJ23" s="20" t="s">
        <v>17</v>
      </c>
      <c r="AK23" s="20" t="s">
        <v>20</v>
      </c>
      <c r="AL23" s="20" t="s">
        <v>23</v>
      </c>
      <c r="AM23" s="105" t="s">
        <v>15</v>
      </c>
      <c r="AN23" s="107" t="s">
        <v>111</v>
      </c>
      <c r="AO23" s="18"/>
      <c r="AP23" s="19">
        <f>COUNTIF(E23:AM23,"=국")</f>
        <v>5</v>
      </c>
      <c r="AQ23" s="19">
        <f>COUNTIF(E23:AM23,"=수")</f>
        <v>3</v>
      </c>
      <c r="AR23" s="19">
        <f>COUNTIF(E23:AM23,"=사")</f>
        <v>3</v>
      </c>
      <c r="AS23" s="19">
        <f>COUNTIF(E23:AM23,"=과")</f>
        <v>2</v>
      </c>
      <c r="AT23" s="19">
        <f>COUNTIF(E23:AM23,"=실")</f>
        <v>1</v>
      </c>
      <c r="AU23" s="19">
        <f>COUNTIF(E23:AN23,"=체")</f>
        <v>2</v>
      </c>
      <c r="AV23" s="19">
        <f>COUNTIF(E23:AM23,"=음")</f>
        <v>2</v>
      </c>
      <c r="AW23" s="19">
        <f>COUNTIF(E23:AM23,"=미")</f>
        <v>1</v>
      </c>
      <c r="AX23" s="19">
        <f>COUNTIF(E23:AM23,"=자")</f>
        <v>5</v>
      </c>
      <c r="AY23" s="19">
        <f>COUNTIF(E23:AM23,"=동")</f>
        <v>1</v>
      </c>
      <c r="AZ23" s="19">
        <f>COUNTIF(E23:AM23,"=진")</f>
        <v>0</v>
      </c>
      <c r="BA23" s="19">
        <f>COUNTIF(E23:AM23,"=의")</f>
        <v>2</v>
      </c>
      <c r="BB23" s="19">
        <f>COUNTIF(E23:AM23,"=선")</f>
        <v>2</v>
      </c>
      <c r="BC23" s="15">
        <f>SUM(AP23:BB23)</f>
        <v>29</v>
      </c>
      <c r="BD23" s="12"/>
      <c r="BE23" s="12"/>
      <c r="BF23" s="12"/>
      <c r="BG23" s="12"/>
      <c r="BH23" s="12"/>
    </row>
    <row r="24" spans="1:60" ht="28.5" customHeight="1">
      <c r="A24" s="185"/>
      <c r="B24" s="13">
        <v>20</v>
      </c>
      <c r="C24" s="20" t="s">
        <v>53</v>
      </c>
      <c r="D24" s="40">
        <v>4</v>
      </c>
      <c r="E24" s="104" t="s">
        <v>15</v>
      </c>
      <c r="F24" s="20" t="s">
        <v>23</v>
      </c>
      <c r="G24" s="20" t="s">
        <v>16</v>
      </c>
      <c r="H24" s="20" t="s">
        <v>22</v>
      </c>
      <c r="I24" s="20" t="s">
        <v>21</v>
      </c>
      <c r="J24" s="102" t="s">
        <v>111</v>
      </c>
      <c r="K24" s="103" t="s">
        <v>111</v>
      </c>
      <c r="L24" s="104" t="s">
        <v>26</v>
      </c>
      <c r="M24" s="20" t="s">
        <v>20</v>
      </c>
      <c r="N24" s="20" t="s">
        <v>17</v>
      </c>
      <c r="O24" s="20" t="s">
        <v>16</v>
      </c>
      <c r="P24" s="95" t="s">
        <v>23</v>
      </c>
      <c r="Q24" s="20" t="s">
        <v>19</v>
      </c>
      <c r="R24" s="105" t="s">
        <v>15</v>
      </c>
      <c r="S24" s="104" t="s">
        <v>16</v>
      </c>
      <c r="T24" s="20" t="s">
        <v>15</v>
      </c>
      <c r="U24" s="20" t="s">
        <v>17</v>
      </c>
      <c r="V24" s="69" t="s">
        <v>26</v>
      </c>
      <c r="W24" s="69" t="s">
        <v>27</v>
      </c>
      <c r="X24" s="96" t="s">
        <v>111</v>
      </c>
      <c r="Y24" s="97" t="s">
        <v>111</v>
      </c>
      <c r="Z24" s="104" t="s">
        <v>24</v>
      </c>
      <c r="AA24" s="69" t="s">
        <v>21</v>
      </c>
      <c r="AB24" s="69" t="s">
        <v>15</v>
      </c>
      <c r="AC24" s="69" t="s">
        <v>27</v>
      </c>
      <c r="AD24" s="69" t="s">
        <v>23</v>
      </c>
      <c r="AE24" s="102" t="s">
        <v>111</v>
      </c>
      <c r="AF24" s="103" t="s">
        <v>111</v>
      </c>
      <c r="AG24" s="170" t="s">
        <v>54</v>
      </c>
      <c r="AH24" s="171"/>
      <c r="AI24" s="171"/>
      <c r="AJ24" s="171"/>
      <c r="AK24" s="171"/>
      <c r="AL24" s="171"/>
      <c r="AM24" s="171"/>
      <c r="AN24" s="107" t="s">
        <v>111</v>
      </c>
      <c r="AO24" s="18"/>
      <c r="AP24" s="19">
        <f>COUNTIF(E24:AM24,"=국")</f>
        <v>4</v>
      </c>
      <c r="AQ24" s="19">
        <f>COUNTIF(E24:AM24,"=수")</f>
        <v>3</v>
      </c>
      <c r="AR24" s="19">
        <f>COUNTIF(E24:AM24,"=사")</f>
        <v>2</v>
      </c>
      <c r="AS24" s="19">
        <f>COUNTIF(E24:AM24,"=과")</f>
        <v>0</v>
      </c>
      <c r="AT24" s="19">
        <f>COUNTIF(E24:AM24,"=실")</f>
        <v>1</v>
      </c>
      <c r="AU24" s="19">
        <f>COUNTIF(E24:AN24,"=체")</f>
        <v>1</v>
      </c>
      <c r="AV24" s="19">
        <f>COUNTIF(E24:AM24,"=음")</f>
        <v>2</v>
      </c>
      <c r="AW24" s="19">
        <f>COUNTIF(E24:AM24,"=미")</f>
        <v>1</v>
      </c>
      <c r="AX24" s="19">
        <f>COUNTIF(E24:AM24,"=자")</f>
        <v>3</v>
      </c>
      <c r="AY24" s="19">
        <f>COUNTIF(E24:AM24,"=동")</f>
        <v>1</v>
      </c>
      <c r="AZ24" s="19">
        <f>COUNTIF(E24:AM24,"=진")</f>
        <v>0</v>
      </c>
      <c r="BA24" s="19">
        <f>COUNTIF(E24:AM24,"=의")</f>
        <v>2</v>
      </c>
      <c r="BB24" s="19">
        <f>COUNTIF(E24:AM24,"=선")</f>
        <v>2</v>
      </c>
      <c r="BC24" s="15">
        <f>SUM(AP24:BB24)</f>
        <v>22</v>
      </c>
      <c r="BD24" s="12"/>
      <c r="BE24" s="12"/>
      <c r="BF24" s="12"/>
      <c r="BG24" s="12"/>
      <c r="BH24" s="12"/>
    </row>
    <row r="25" spans="1:60" ht="28.5" customHeight="1">
      <c r="A25" s="179"/>
      <c r="B25" s="30">
        <v>21</v>
      </c>
      <c r="C25" s="55" t="s">
        <v>55</v>
      </c>
      <c r="D25" s="73">
        <v>5</v>
      </c>
      <c r="E25" s="104" t="s">
        <v>15</v>
      </c>
      <c r="F25" s="20" t="s">
        <v>23</v>
      </c>
      <c r="G25" s="20" t="s">
        <v>16</v>
      </c>
      <c r="H25" s="20" t="s">
        <v>22</v>
      </c>
      <c r="I25" s="20" t="s">
        <v>21</v>
      </c>
      <c r="J25" s="102" t="s">
        <v>111</v>
      </c>
      <c r="K25" s="103" t="s">
        <v>111</v>
      </c>
      <c r="L25" s="104" t="s">
        <v>26</v>
      </c>
      <c r="M25" s="20" t="s">
        <v>20</v>
      </c>
      <c r="N25" s="20" t="s">
        <v>17</v>
      </c>
      <c r="O25" s="20" t="s">
        <v>16</v>
      </c>
      <c r="P25" s="95" t="s">
        <v>23</v>
      </c>
      <c r="Q25" s="20" t="s">
        <v>19</v>
      </c>
      <c r="R25" s="105" t="s">
        <v>15</v>
      </c>
      <c r="S25" s="104" t="s">
        <v>16</v>
      </c>
      <c r="T25" s="20" t="s">
        <v>15</v>
      </c>
      <c r="U25" s="20" t="s">
        <v>17</v>
      </c>
      <c r="V25" s="69" t="s">
        <v>26</v>
      </c>
      <c r="W25" s="69" t="s">
        <v>27</v>
      </c>
      <c r="X25" s="96" t="s">
        <v>111</v>
      </c>
      <c r="Y25" s="97" t="s">
        <v>111</v>
      </c>
      <c r="Z25" s="104" t="s">
        <v>24</v>
      </c>
      <c r="AA25" s="69" t="s">
        <v>21</v>
      </c>
      <c r="AB25" s="69" t="s">
        <v>15</v>
      </c>
      <c r="AC25" s="69" t="s">
        <v>27</v>
      </c>
      <c r="AD25" s="69" t="s">
        <v>23</v>
      </c>
      <c r="AE25" s="109" t="s">
        <v>111</v>
      </c>
      <c r="AF25" s="110" t="s">
        <v>111</v>
      </c>
      <c r="AG25" s="104" t="s">
        <v>18</v>
      </c>
      <c r="AH25" s="20" t="s">
        <v>18</v>
      </c>
      <c r="AI25" s="20" t="s">
        <v>23</v>
      </c>
      <c r="AJ25" s="20" t="s">
        <v>17</v>
      </c>
      <c r="AK25" s="172" t="s">
        <v>56</v>
      </c>
      <c r="AL25" s="173"/>
      <c r="AM25" s="173"/>
      <c r="AN25" s="111" t="s">
        <v>111</v>
      </c>
      <c r="AO25" s="18"/>
      <c r="AP25" s="19">
        <f>COUNTIF(E25:AM25,"=국")</f>
        <v>4</v>
      </c>
      <c r="AQ25" s="19">
        <f>COUNTIF(E25:AM25,"=수")</f>
        <v>3</v>
      </c>
      <c r="AR25" s="19">
        <f>COUNTIF(E25:AM25,"=사")</f>
        <v>3</v>
      </c>
      <c r="AS25" s="19">
        <f>COUNTIF(E25:AM25,"=과")</f>
        <v>2</v>
      </c>
      <c r="AT25" s="19">
        <f>COUNTIF(E25:AM25,"=실")</f>
        <v>1</v>
      </c>
      <c r="AU25" s="19">
        <f>COUNTIF(E25:AN25,"=체")</f>
        <v>1</v>
      </c>
      <c r="AV25" s="19">
        <f>COUNTIF(E25:AM25,"=음")</f>
        <v>2</v>
      </c>
      <c r="AW25" s="19">
        <f>COUNTIF(E25:AM25,"=미")</f>
        <v>1</v>
      </c>
      <c r="AX25" s="19">
        <f>COUNTIF(E25:AM25,"=자")</f>
        <v>4</v>
      </c>
      <c r="AY25" s="19">
        <f>COUNTIF(E25:AM25,"=동")</f>
        <v>1</v>
      </c>
      <c r="AZ25" s="19">
        <f>COUNTIF(E25:AM25,"=진")</f>
        <v>0</v>
      </c>
      <c r="BA25" s="19">
        <f>COUNTIF(E25:AM25,"=의")</f>
        <v>2</v>
      </c>
      <c r="BB25" s="19">
        <f>COUNTIF(E25:AM25,"=선")</f>
        <v>2</v>
      </c>
      <c r="BC25" s="15">
        <f>SUM(AP25:BB25)</f>
        <v>26</v>
      </c>
      <c r="BD25" s="12"/>
      <c r="BE25" s="12"/>
      <c r="BF25" s="12"/>
      <c r="BG25" s="12"/>
      <c r="BH25" s="12"/>
    </row>
    <row r="26" spans="1:60" ht="31.5" customHeight="1">
      <c r="A26" s="139" t="s">
        <v>57</v>
      </c>
      <c r="B26" s="189"/>
      <c r="C26" s="190"/>
      <c r="D26" s="74">
        <f>SUM(D5:D25)</f>
        <v>98</v>
      </c>
      <c r="E26" s="139">
        <v>18</v>
      </c>
      <c r="F26" s="189"/>
      <c r="G26" s="189"/>
      <c r="H26" s="189"/>
      <c r="I26" s="189"/>
      <c r="J26" s="189"/>
      <c r="K26" s="191"/>
      <c r="L26" s="139">
        <v>20</v>
      </c>
      <c r="M26" s="189"/>
      <c r="N26" s="189"/>
      <c r="O26" s="189"/>
      <c r="P26" s="189"/>
      <c r="Q26" s="189"/>
      <c r="R26" s="191"/>
      <c r="S26" s="139">
        <v>20</v>
      </c>
      <c r="T26" s="189"/>
      <c r="U26" s="189"/>
      <c r="V26" s="189"/>
      <c r="W26" s="189"/>
      <c r="X26" s="189"/>
      <c r="Y26" s="191"/>
      <c r="Z26" s="139">
        <v>21</v>
      </c>
      <c r="AA26" s="189"/>
      <c r="AB26" s="189"/>
      <c r="AC26" s="189"/>
      <c r="AD26" s="189"/>
      <c r="AE26" s="189"/>
      <c r="AF26" s="191"/>
      <c r="AG26" s="139">
        <v>19</v>
      </c>
      <c r="AH26" s="189"/>
      <c r="AI26" s="189"/>
      <c r="AJ26" s="189"/>
      <c r="AK26" s="189"/>
      <c r="AL26" s="189"/>
      <c r="AM26" s="191"/>
      <c r="AN26" s="75">
        <f>SUM(E26:AM26)</f>
        <v>98</v>
      </c>
      <c r="AO26" s="21"/>
      <c r="AP26" s="15">
        <f>SUM(AP5:AP25)</f>
        <v>85</v>
      </c>
      <c r="AQ26" s="15">
        <f>SUM(AQ5:AQ25)</f>
        <v>52</v>
      </c>
      <c r="AR26" s="15">
        <f>SUM(AR5:AR25)</f>
        <v>51</v>
      </c>
      <c r="AS26" s="15">
        <f>SUM(AS5:AS25)</f>
        <v>36</v>
      </c>
      <c r="AT26" s="15">
        <f>SUM(AT5:AT25)</f>
        <v>34</v>
      </c>
      <c r="AU26" s="15">
        <f>SUM(AU5:AU25)</f>
        <v>44</v>
      </c>
      <c r="AV26" s="15">
        <f>SUM(AV5:AV25)</f>
        <v>30</v>
      </c>
      <c r="AW26" s="15">
        <f>SUM(AW5:AW25)</f>
        <v>31</v>
      </c>
      <c r="AX26" s="15">
        <f>SUM(AX5:AX25)</f>
        <v>88</v>
      </c>
      <c r="AY26" s="15">
        <f>SUM(AY5:AY25)</f>
        <v>19</v>
      </c>
      <c r="AZ26" s="15">
        <f>SUM(AZ5:AZ25)</f>
        <v>4</v>
      </c>
      <c r="BA26" s="15">
        <f>SUM(BA5:BA25)</f>
        <v>43</v>
      </c>
      <c r="BB26" s="15">
        <f>SUM(BB5:BB25)</f>
        <v>44</v>
      </c>
      <c r="BC26" s="15">
        <f>SUM(AP26:BB26)</f>
        <v>561</v>
      </c>
      <c r="BD26" s="12"/>
      <c r="BE26" s="12"/>
      <c r="BF26" s="12"/>
      <c r="BG26" s="12"/>
      <c r="BH26" s="12"/>
    </row>
    <row r="27" spans="1:60" ht="12.75" customHeight="1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22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11"/>
      <c r="BC27" s="12"/>
      <c r="BD27" s="12"/>
      <c r="BE27" s="12"/>
      <c r="BF27" s="12"/>
      <c r="BG27" s="12"/>
    </row>
    <row r="28" spans="1:60" ht="28.5" customHeight="1">
      <c r="A28" s="121" t="s">
        <v>3</v>
      </c>
      <c r="B28" s="122" t="s">
        <v>4</v>
      </c>
      <c r="C28" s="122" t="s">
        <v>5</v>
      </c>
      <c r="D28" s="123" t="s">
        <v>6</v>
      </c>
      <c r="E28" s="124" t="s">
        <v>7</v>
      </c>
      <c r="F28" s="176"/>
      <c r="G28" s="176"/>
      <c r="H28" s="176"/>
      <c r="I28" s="176"/>
      <c r="J28" s="176"/>
      <c r="K28" s="177"/>
      <c r="L28" s="124" t="s">
        <v>8</v>
      </c>
      <c r="M28" s="176"/>
      <c r="N28" s="176"/>
      <c r="O28" s="176"/>
      <c r="P28" s="176"/>
      <c r="Q28" s="176"/>
      <c r="R28" s="177"/>
      <c r="S28" s="124" t="s">
        <v>9</v>
      </c>
      <c r="T28" s="176"/>
      <c r="U28" s="176"/>
      <c r="V28" s="176"/>
      <c r="W28" s="176"/>
      <c r="X28" s="176"/>
      <c r="Y28" s="177"/>
      <c r="Z28" s="124" t="s">
        <v>10</v>
      </c>
      <c r="AA28" s="176"/>
      <c r="AB28" s="176"/>
      <c r="AC28" s="176"/>
      <c r="AD28" s="176"/>
      <c r="AE28" s="176"/>
      <c r="AF28" s="177"/>
      <c r="AG28" s="124" t="s">
        <v>11</v>
      </c>
      <c r="AH28" s="176"/>
      <c r="AI28" s="176"/>
      <c r="AJ28" s="176"/>
      <c r="AK28" s="176"/>
      <c r="AL28" s="176"/>
      <c r="AM28" s="177"/>
      <c r="AN28" s="166" t="s">
        <v>12</v>
      </c>
      <c r="AO28" s="126"/>
      <c r="AP28" s="10"/>
      <c r="AQ28" s="10"/>
      <c r="AR28" s="10"/>
      <c r="AS28" s="10"/>
      <c r="AT28" s="10"/>
      <c r="AU28" s="10"/>
      <c r="AV28" s="10"/>
      <c r="AW28" s="12"/>
      <c r="AX28" s="127" t="s">
        <v>13</v>
      </c>
      <c r="AY28" s="178"/>
      <c r="AZ28" s="178"/>
      <c r="BA28" s="128" t="s">
        <v>14</v>
      </c>
      <c r="BB28" s="178"/>
      <c r="BC28" s="12"/>
      <c r="BD28" s="12"/>
      <c r="BE28" s="12"/>
      <c r="BF28" s="12"/>
      <c r="BG28" s="12"/>
    </row>
    <row r="29" spans="1:60" ht="28.5" customHeight="1">
      <c r="A29" s="179"/>
      <c r="B29" s="180"/>
      <c r="C29" s="180"/>
      <c r="D29" s="181"/>
      <c r="E29" s="46">
        <v>1</v>
      </c>
      <c r="F29" s="47">
        <v>2</v>
      </c>
      <c r="G29" s="47">
        <v>3</v>
      </c>
      <c r="H29" s="47">
        <v>4</v>
      </c>
      <c r="I29" s="47">
        <v>5</v>
      </c>
      <c r="J29" s="47">
        <v>6</v>
      </c>
      <c r="K29" s="48">
        <v>7</v>
      </c>
      <c r="L29" s="46">
        <v>1</v>
      </c>
      <c r="M29" s="47">
        <v>2</v>
      </c>
      <c r="N29" s="47">
        <v>3</v>
      </c>
      <c r="O29" s="47">
        <v>4</v>
      </c>
      <c r="P29" s="47">
        <v>5</v>
      </c>
      <c r="Q29" s="47">
        <v>6</v>
      </c>
      <c r="R29" s="48">
        <v>7</v>
      </c>
      <c r="S29" s="46">
        <v>1</v>
      </c>
      <c r="T29" s="47">
        <v>2</v>
      </c>
      <c r="U29" s="47">
        <v>3</v>
      </c>
      <c r="V29" s="47">
        <v>4</v>
      </c>
      <c r="W29" s="47">
        <v>5</v>
      </c>
      <c r="X29" s="47">
        <v>6</v>
      </c>
      <c r="Y29" s="48">
        <v>7</v>
      </c>
      <c r="Z29" s="46">
        <v>1</v>
      </c>
      <c r="AA29" s="47">
        <v>2</v>
      </c>
      <c r="AB29" s="47">
        <v>3</v>
      </c>
      <c r="AC29" s="47">
        <v>4</v>
      </c>
      <c r="AD29" s="47">
        <v>5</v>
      </c>
      <c r="AE29" s="47">
        <v>6</v>
      </c>
      <c r="AF29" s="48">
        <v>7</v>
      </c>
      <c r="AG29" s="46">
        <v>1</v>
      </c>
      <c r="AH29" s="47">
        <v>2</v>
      </c>
      <c r="AI29" s="47">
        <v>3</v>
      </c>
      <c r="AJ29" s="47">
        <v>4</v>
      </c>
      <c r="AK29" s="47">
        <v>5</v>
      </c>
      <c r="AL29" s="47">
        <v>6</v>
      </c>
      <c r="AM29" s="48">
        <v>7</v>
      </c>
      <c r="AN29" s="219"/>
      <c r="AO29" s="126"/>
      <c r="AP29" s="14" t="s">
        <v>15</v>
      </c>
      <c r="AQ29" s="14" t="s">
        <v>16</v>
      </c>
      <c r="AR29" s="14" t="s">
        <v>17</v>
      </c>
      <c r="AS29" s="14" t="s">
        <v>18</v>
      </c>
      <c r="AT29" s="14" t="s">
        <v>19</v>
      </c>
      <c r="AU29" s="14" t="s">
        <v>20</v>
      </c>
      <c r="AV29" s="34" t="s">
        <v>21</v>
      </c>
      <c r="AW29" s="36" t="s">
        <v>22</v>
      </c>
      <c r="AX29" s="37" t="s">
        <v>23</v>
      </c>
      <c r="AY29" s="35" t="s">
        <v>24</v>
      </c>
      <c r="AZ29" s="35" t="s">
        <v>25</v>
      </c>
      <c r="BA29" s="35" t="s">
        <v>26</v>
      </c>
      <c r="BB29" s="35" t="s">
        <v>27</v>
      </c>
      <c r="BC29" s="15" t="s">
        <v>28</v>
      </c>
      <c r="BD29" s="12"/>
      <c r="BE29" s="12"/>
      <c r="BF29" s="12"/>
      <c r="BG29" s="12"/>
      <c r="BH29" s="12"/>
    </row>
    <row r="30" spans="1:60" ht="28.5" customHeight="1">
      <c r="A30" s="129">
        <v>8</v>
      </c>
      <c r="B30" s="69">
        <v>22</v>
      </c>
      <c r="C30" s="49" t="s">
        <v>58</v>
      </c>
      <c r="D30" s="70">
        <v>4</v>
      </c>
      <c r="E30" s="112" t="s">
        <v>111</v>
      </c>
      <c r="F30" s="96" t="s">
        <v>111</v>
      </c>
      <c r="G30" s="96" t="s">
        <v>111</v>
      </c>
      <c r="H30" s="96" t="s">
        <v>111</v>
      </c>
      <c r="I30" s="96" t="s">
        <v>111</v>
      </c>
      <c r="J30" s="96" t="s">
        <v>111</v>
      </c>
      <c r="K30" s="97" t="s">
        <v>111</v>
      </c>
      <c r="L30" s="94" t="s">
        <v>26</v>
      </c>
      <c r="M30" s="69" t="s">
        <v>20</v>
      </c>
      <c r="N30" s="69" t="s">
        <v>17</v>
      </c>
      <c r="O30" s="69" t="s">
        <v>16</v>
      </c>
      <c r="P30" s="169" t="s">
        <v>59</v>
      </c>
      <c r="Q30" s="168"/>
      <c r="R30" s="168"/>
      <c r="S30" s="94" t="s">
        <v>16</v>
      </c>
      <c r="T30" s="69" t="s">
        <v>15</v>
      </c>
      <c r="U30" s="95" t="s">
        <v>26</v>
      </c>
      <c r="V30" s="69" t="s">
        <v>26</v>
      </c>
      <c r="W30" s="69" t="s">
        <v>27</v>
      </c>
      <c r="X30" s="96" t="s">
        <v>111</v>
      </c>
      <c r="Y30" s="97" t="s">
        <v>111</v>
      </c>
      <c r="Z30" s="98" t="s">
        <v>20</v>
      </c>
      <c r="AA30" s="69" t="s">
        <v>21</v>
      </c>
      <c r="AB30" s="69" t="s">
        <v>15</v>
      </c>
      <c r="AC30" s="69" t="s">
        <v>27</v>
      </c>
      <c r="AD30" s="108" t="s">
        <v>25</v>
      </c>
      <c r="AE30" s="109" t="s">
        <v>111</v>
      </c>
      <c r="AF30" s="110" t="s">
        <v>111</v>
      </c>
      <c r="AG30" s="104" t="s">
        <v>18</v>
      </c>
      <c r="AH30" s="69" t="s">
        <v>18</v>
      </c>
      <c r="AI30" s="69" t="s">
        <v>23</v>
      </c>
      <c r="AJ30" s="69" t="s">
        <v>17</v>
      </c>
      <c r="AK30" s="69" t="s">
        <v>20</v>
      </c>
      <c r="AL30" s="20" t="s">
        <v>23</v>
      </c>
      <c r="AM30" s="105" t="s">
        <v>15</v>
      </c>
      <c r="AN30" s="72"/>
      <c r="AO30" s="24"/>
      <c r="AP30" s="19">
        <f>COUNTIF(E30:AM30,"=국")</f>
        <v>3</v>
      </c>
      <c r="AQ30" s="19">
        <f>COUNTIF(E30:AM30,"=수")</f>
        <v>2</v>
      </c>
      <c r="AR30" s="19">
        <f>COUNTIF(E30:AM30,"=사")</f>
        <v>2</v>
      </c>
      <c r="AS30" s="19">
        <f>COUNTIF(E30:AM30,"=과")</f>
        <v>2</v>
      </c>
      <c r="AT30" s="19">
        <f>COUNTIF(D30:AL30,"=실")</f>
        <v>0</v>
      </c>
      <c r="AU30" s="19">
        <f>COUNTIF(E30:AM30,"=체")</f>
        <v>3</v>
      </c>
      <c r="AV30" s="19">
        <f>COUNTIF(E30:AM30,"=음")</f>
        <v>1</v>
      </c>
      <c r="AW30" s="38">
        <f>COUNTIF(E30:AM30,"=미")</f>
        <v>0</v>
      </c>
      <c r="AX30" s="19">
        <f>COUNTIF(E30:AM30,"=자")</f>
        <v>2</v>
      </c>
      <c r="AY30" s="19">
        <f>COUNTIF(E30:AM30,"=동")</f>
        <v>0</v>
      </c>
      <c r="AZ30" s="19">
        <f>COUNTIF(E30:AM30,"=진")</f>
        <v>1</v>
      </c>
      <c r="BA30" s="19">
        <f>COUNTIF(E30:AM30,"=의")</f>
        <v>3</v>
      </c>
      <c r="BB30" s="19">
        <f>COUNTIF(E30:AM30,"=선")</f>
        <v>2</v>
      </c>
      <c r="BC30" s="15">
        <f>SUM(AP30:BB30)</f>
        <v>21</v>
      </c>
      <c r="BD30" s="12"/>
      <c r="BE30" s="12"/>
      <c r="BF30" s="12"/>
      <c r="BG30" s="12"/>
      <c r="BH30" s="12"/>
    </row>
    <row r="31" spans="1:60" ht="28.5" customHeight="1">
      <c r="A31" s="129"/>
      <c r="B31" s="20">
        <v>23</v>
      </c>
      <c r="C31" s="13" t="s">
        <v>60</v>
      </c>
      <c r="D31" s="56">
        <v>5</v>
      </c>
      <c r="E31" s="98" t="s">
        <v>23</v>
      </c>
      <c r="F31" s="20" t="s">
        <v>23</v>
      </c>
      <c r="G31" s="95" t="s">
        <v>22</v>
      </c>
      <c r="H31" s="20" t="s">
        <v>22</v>
      </c>
      <c r="I31" s="20" t="s">
        <v>21</v>
      </c>
      <c r="J31" s="102" t="s">
        <v>111</v>
      </c>
      <c r="K31" s="103" t="s">
        <v>111</v>
      </c>
      <c r="L31" s="104" t="s">
        <v>26</v>
      </c>
      <c r="M31" s="20" t="s">
        <v>20</v>
      </c>
      <c r="N31" s="20" t="s">
        <v>17</v>
      </c>
      <c r="O31" s="20" t="s">
        <v>16</v>
      </c>
      <c r="P31" s="20" t="s">
        <v>19</v>
      </c>
      <c r="Q31" s="20" t="s">
        <v>19</v>
      </c>
      <c r="R31" s="105" t="s">
        <v>15</v>
      </c>
      <c r="S31" s="104" t="s">
        <v>16</v>
      </c>
      <c r="T31" s="20" t="s">
        <v>15</v>
      </c>
      <c r="U31" s="95" t="s">
        <v>26</v>
      </c>
      <c r="V31" s="69" t="s">
        <v>26</v>
      </c>
      <c r="W31" s="69" t="s">
        <v>27</v>
      </c>
      <c r="X31" s="96" t="s">
        <v>111</v>
      </c>
      <c r="Y31" s="97" t="s">
        <v>111</v>
      </c>
      <c r="Z31" s="98" t="s">
        <v>20</v>
      </c>
      <c r="AA31" s="69" t="s">
        <v>21</v>
      </c>
      <c r="AB31" s="69" t="s">
        <v>15</v>
      </c>
      <c r="AC31" s="69" t="s">
        <v>27</v>
      </c>
      <c r="AD31" s="106" t="s">
        <v>25</v>
      </c>
      <c r="AE31" s="109" t="s">
        <v>111</v>
      </c>
      <c r="AF31" s="110" t="s">
        <v>111</v>
      </c>
      <c r="AG31" s="104" t="s">
        <v>18</v>
      </c>
      <c r="AH31" s="20" t="s">
        <v>18</v>
      </c>
      <c r="AI31" s="20" t="s">
        <v>23</v>
      </c>
      <c r="AJ31" s="20" t="s">
        <v>17</v>
      </c>
      <c r="AK31" s="20" t="s">
        <v>20</v>
      </c>
      <c r="AL31" s="20" t="s">
        <v>23</v>
      </c>
      <c r="AM31" s="105" t="s">
        <v>15</v>
      </c>
      <c r="AN31" s="44"/>
      <c r="AO31" s="24"/>
      <c r="AP31" s="19">
        <f>COUNTIF(E31:AM31,"=국")</f>
        <v>4</v>
      </c>
      <c r="AQ31" s="19">
        <f>COUNTIF(E31:AM31,"=수")</f>
        <v>2</v>
      </c>
      <c r="AR31" s="19">
        <f>COUNTIF(E31:AM31,"=사")</f>
        <v>2</v>
      </c>
      <c r="AS31" s="19">
        <f>COUNTIF(E31:AM31,"=과")</f>
        <v>2</v>
      </c>
      <c r="AT31" s="19">
        <f>COUNTIF(D31:AL31,"=실")</f>
        <v>2</v>
      </c>
      <c r="AU31" s="19">
        <f>COUNTIF(E31:AM31,"=체")</f>
        <v>3</v>
      </c>
      <c r="AV31" s="19">
        <f>COUNTIF(E31:AM31,"=음")</f>
        <v>2</v>
      </c>
      <c r="AW31" s="19">
        <f>COUNTIF(E31:AM31,"=미")</f>
        <v>2</v>
      </c>
      <c r="AX31" s="19">
        <f>COUNTIF(E31:AM31,"=자")</f>
        <v>4</v>
      </c>
      <c r="AY31" s="19">
        <f>COUNTIF(E31:AM31,"=동")</f>
        <v>0</v>
      </c>
      <c r="AZ31" s="19">
        <f>COUNTIF(E31:AM31,"=진")</f>
        <v>1</v>
      </c>
      <c r="BA31" s="19">
        <f>COUNTIF(E31:AM31,"=의")</f>
        <v>3</v>
      </c>
      <c r="BB31" s="19">
        <f>COUNTIF(E31:AM31,"=선")</f>
        <v>2</v>
      </c>
      <c r="BC31" s="15">
        <f>SUM(AP31:BB31)</f>
        <v>29</v>
      </c>
      <c r="BD31" s="12"/>
      <c r="BE31" s="12"/>
      <c r="BF31" s="12"/>
      <c r="BG31" s="12"/>
      <c r="BH31" s="12"/>
    </row>
    <row r="32" spans="1:60" ht="28.5" customHeight="1">
      <c r="A32" s="140">
        <v>9</v>
      </c>
      <c r="B32" s="20">
        <v>24</v>
      </c>
      <c r="C32" s="13" t="s">
        <v>61</v>
      </c>
      <c r="D32" s="56">
        <v>5</v>
      </c>
      <c r="E32" s="98" t="s">
        <v>23</v>
      </c>
      <c r="F32" s="20" t="s">
        <v>23</v>
      </c>
      <c r="G32" s="95" t="s">
        <v>22</v>
      </c>
      <c r="H32" s="20" t="s">
        <v>22</v>
      </c>
      <c r="I32" s="20" t="s">
        <v>21</v>
      </c>
      <c r="J32" s="102" t="s">
        <v>111</v>
      </c>
      <c r="K32" s="103" t="s">
        <v>111</v>
      </c>
      <c r="L32" s="104" t="s">
        <v>26</v>
      </c>
      <c r="M32" s="20" t="s">
        <v>20</v>
      </c>
      <c r="N32" s="20" t="s">
        <v>17</v>
      </c>
      <c r="O32" s="20" t="s">
        <v>16</v>
      </c>
      <c r="P32" s="20" t="s">
        <v>19</v>
      </c>
      <c r="Q32" s="20" t="s">
        <v>19</v>
      </c>
      <c r="R32" s="105" t="s">
        <v>15</v>
      </c>
      <c r="S32" s="104" t="s">
        <v>16</v>
      </c>
      <c r="T32" s="20" t="s">
        <v>15</v>
      </c>
      <c r="U32" s="95" t="s">
        <v>26</v>
      </c>
      <c r="V32" s="69" t="s">
        <v>26</v>
      </c>
      <c r="W32" s="69" t="s">
        <v>27</v>
      </c>
      <c r="X32" s="96" t="s">
        <v>111</v>
      </c>
      <c r="Y32" s="97" t="s">
        <v>111</v>
      </c>
      <c r="Z32" s="98" t="s">
        <v>20</v>
      </c>
      <c r="AA32" s="69" t="s">
        <v>21</v>
      </c>
      <c r="AB32" s="69" t="s">
        <v>15</v>
      </c>
      <c r="AC32" s="69" t="s">
        <v>27</v>
      </c>
      <c r="AD32" s="106" t="s">
        <v>25</v>
      </c>
      <c r="AE32" s="109" t="s">
        <v>111</v>
      </c>
      <c r="AF32" s="110" t="s">
        <v>111</v>
      </c>
      <c r="AG32" s="104" t="s">
        <v>18</v>
      </c>
      <c r="AH32" s="20" t="s">
        <v>18</v>
      </c>
      <c r="AI32" s="20" t="s">
        <v>23</v>
      </c>
      <c r="AJ32" s="20" t="s">
        <v>17</v>
      </c>
      <c r="AK32" s="20" t="s">
        <v>20</v>
      </c>
      <c r="AL32" s="20" t="s">
        <v>23</v>
      </c>
      <c r="AM32" s="105" t="s">
        <v>15</v>
      </c>
      <c r="AN32" s="44"/>
      <c r="AO32" s="24"/>
      <c r="AP32" s="19">
        <f>COUNTIF(E32:AM32,"=국")</f>
        <v>4</v>
      </c>
      <c r="AQ32" s="19">
        <f>COUNTIF(E32:AM32,"=수")</f>
        <v>2</v>
      </c>
      <c r="AR32" s="19">
        <f>COUNTIF(E32:AM32,"=사")</f>
        <v>2</v>
      </c>
      <c r="AS32" s="19">
        <f>COUNTIF(E32:AM32,"=과")</f>
        <v>2</v>
      </c>
      <c r="AT32" s="19">
        <f>COUNTIF(D32:AL32,"=실")</f>
        <v>2</v>
      </c>
      <c r="AU32" s="19">
        <f>COUNTIF(E32:AM32,"=체")</f>
        <v>3</v>
      </c>
      <c r="AV32" s="19">
        <f>COUNTIF(E32:AM32,"=음")</f>
        <v>2</v>
      </c>
      <c r="AW32" s="19">
        <f>COUNTIF(E32:AM32,"=미")</f>
        <v>2</v>
      </c>
      <c r="AX32" s="19">
        <f>COUNTIF(E32:AM32,"=자")</f>
        <v>4</v>
      </c>
      <c r="AY32" s="19">
        <f>COUNTIF(E32:AM32,"=동")</f>
        <v>0</v>
      </c>
      <c r="AZ32" s="19">
        <f>COUNTIF(E32:AM32,"=진")</f>
        <v>1</v>
      </c>
      <c r="BA32" s="19">
        <f>COUNTIF(E32:AM32,"=의")</f>
        <v>3</v>
      </c>
      <c r="BB32" s="19">
        <f>COUNTIF(E32:AM32,"=선")</f>
        <v>2</v>
      </c>
      <c r="BC32" s="15">
        <f>SUM(AP32:BB32)</f>
        <v>29</v>
      </c>
      <c r="BD32" s="12"/>
      <c r="BE32" s="12"/>
      <c r="BF32" s="12"/>
      <c r="BG32" s="12"/>
      <c r="BH32" s="12"/>
    </row>
    <row r="33" spans="1:60" ht="28.5" customHeight="1">
      <c r="A33" s="129"/>
      <c r="B33" s="20">
        <v>25</v>
      </c>
      <c r="C33" s="13" t="s">
        <v>62</v>
      </c>
      <c r="D33" s="56">
        <v>5</v>
      </c>
      <c r="E33" s="98" t="s">
        <v>23</v>
      </c>
      <c r="F33" s="20" t="s">
        <v>23</v>
      </c>
      <c r="G33" s="95" t="s">
        <v>22</v>
      </c>
      <c r="H33" s="20" t="s">
        <v>22</v>
      </c>
      <c r="I33" s="20" t="s">
        <v>21</v>
      </c>
      <c r="J33" s="102" t="s">
        <v>111</v>
      </c>
      <c r="K33" s="103" t="s">
        <v>111</v>
      </c>
      <c r="L33" s="104" t="s">
        <v>26</v>
      </c>
      <c r="M33" s="20" t="s">
        <v>20</v>
      </c>
      <c r="N33" s="20" t="s">
        <v>17</v>
      </c>
      <c r="O33" s="20" t="s">
        <v>16</v>
      </c>
      <c r="P33" s="20" t="s">
        <v>19</v>
      </c>
      <c r="Q33" s="20" t="s">
        <v>19</v>
      </c>
      <c r="R33" s="105" t="s">
        <v>15</v>
      </c>
      <c r="S33" s="104" t="s">
        <v>16</v>
      </c>
      <c r="T33" s="20" t="s">
        <v>15</v>
      </c>
      <c r="U33" s="95" t="s">
        <v>20</v>
      </c>
      <c r="V33" s="69" t="s">
        <v>26</v>
      </c>
      <c r="W33" s="69" t="s">
        <v>27</v>
      </c>
      <c r="X33" s="96" t="s">
        <v>111</v>
      </c>
      <c r="Y33" s="97" t="s">
        <v>111</v>
      </c>
      <c r="Z33" s="98" t="s">
        <v>20</v>
      </c>
      <c r="AA33" s="69" t="s">
        <v>21</v>
      </c>
      <c r="AB33" s="69" t="s">
        <v>15</v>
      </c>
      <c r="AC33" s="69" t="s">
        <v>27</v>
      </c>
      <c r="AD33" s="106" t="s">
        <v>25</v>
      </c>
      <c r="AE33" s="109" t="s">
        <v>111</v>
      </c>
      <c r="AF33" s="110" t="s">
        <v>111</v>
      </c>
      <c r="AG33" s="104" t="s">
        <v>18</v>
      </c>
      <c r="AH33" s="20" t="s">
        <v>18</v>
      </c>
      <c r="AI33" s="20" t="s">
        <v>23</v>
      </c>
      <c r="AJ33" s="20" t="s">
        <v>17</v>
      </c>
      <c r="AK33" s="20" t="s">
        <v>20</v>
      </c>
      <c r="AL33" s="20" t="s">
        <v>23</v>
      </c>
      <c r="AM33" s="105" t="s">
        <v>15</v>
      </c>
      <c r="AN33" s="44"/>
      <c r="AO33" s="24"/>
      <c r="AP33" s="19">
        <f>COUNTIF(E33:AM33,"=국")</f>
        <v>4</v>
      </c>
      <c r="AQ33" s="19">
        <f>COUNTIF(E33:AM33,"=수")</f>
        <v>2</v>
      </c>
      <c r="AR33" s="19">
        <f>COUNTIF(E33:AM33,"=사")</f>
        <v>2</v>
      </c>
      <c r="AS33" s="19">
        <f>COUNTIF(E33:AM33,"=과")</f>
        <v>2</v>
      </c>
      <c r="AT33" s="19">
        <f>COUNTIF(D33:AL33,"=실")</f>
        <v>2</v>
      </c>
      <c r="AU33" s="19">
        <f>COUNTIF(E33:AM33,"=체")</f>
        <v>4</v>
      </c>
      <c r="AV33" s="19">
        <f>COUNTIF(E33:AM33,"=음")</f>
        <v>2</v>
      </c>
      <c r="AW33" s="19">
        <f>COUNTIF(E33:AM33,"=미")</f>
        <v>2</v>
      </c>
      <c r="AX33" s="19">
        <f>COUNTIF(E33:AM33,"=자")</f>
        <v>4</v>
      </c>
      <c r="AY33" s="19">
        <f>COUNTIF(E33:AM33,"=동")</f>
        <v>0</v>
      </c>
      <c r="AZ33" s="19">
        <f>COUNTIF(E33:AM33,"=진")</f>
        <v>1</v>
      </c>
      <c r="BA33" s="19">
        <f>COUNTIF(E33:AM33,"=의")</f>
        <v>2</v>
      </c>
      <c r="BB33" s="19">
        <f>COUNTIF(E33:AM33,"=선")</f>
        <v>2</v>
      </c>
      <c r="BC33" s="15">
        <f>SUM(AP33:BB33)</f>
        <v>29</v>
      </c>
      <c r="BD33" s="12"/>
      <c r="BE33" s="12"/>
      <c r="BF33" s="12"/>
      <c r="BG33" s="12"/>
      <c r="BH33" s="12"/>
    </row>
    <row r="34" spans="1:60" ht="28.5" customHeight="1">
      <c r="A34" s="129"/>
      <c r="B34" s="20">
        <v>26</v>
      </c>
      <c r="C34" s="13" t="s">
        <v>63</v>
      </c>
      <c r="D34" s="56">
        <v>5</v>
      </c>
      <c r="E34" s="98" t="s">
        <v>23</v>
      </c>
      <c r="F34" s="20" t="s">
        <v>23</v>
      </c>
      <c r="G34" s="95" t="s">
        <v>27</v>
      </c>
      <c r="H34" s="20" t="s">
        <v>22</v>
      </c>
      <c r="I34" s="20" t="s">
        <v>21</v>
      </c>
      <c r="J34" s="102" t="s">
        <v>111</v>
      </c>
      <c r="K34" s="103" t="s">
        <v>111</v>
      </c>
      <c r="L34" s="104" t="s">
        <v>26</v>
      </c>
      <c r="M34" s="20" t="s">
        <v>20</v>
      </c>
      <c r="N34" s="20" t="s">
        <v>17</v>
      </c>
      <c r="O34" s="20" t="s">
        <v>16</v>
      </c>
      <c r="P34" s="20" t="s">
        <v>19</v>
      </c>
      <c r="Q34" s="20" t="s">
        <v>19</v>
      </c>
      <c r="R34" s="105" t="s">
        <v>15</v>
      </c>
      <c r="S34" s="104" t="s">
        <v>16</v>
      </c>
      <c r="T34" s="20" t="s">
        <v>15</v>
      </c>
      <c r="U34" s="20" t="s">
        <v>17</v>
      </c>
      <c r="V34" s="69" t="s">
        <v>26</v>
      </c>
      <c r="W34" s="69" t="s">
        <v>27</v>
      </c>
      <c r="X34" s="96" t="s">
        <v>111</v>
      </c>
      <c r="Y34" s="97" t="s">
        <v>111</v>
      </c>
      <c r="Z34" s="104" t="s">
        <v>24</v>
      </c>
      <c r="AA34" s="69" t="s">
        <v>21</v>
      </c>
      <c r="AB34" s="69" t="s">
        <v>15</v>
      </c>
      <c r="AC34" s="69" t="s">
        <v>27</v>
      </c>
      <c r="AD34" s="69" t="s">
        <v>23</v>
      </c>
      <c r="AE34" s="109" t="s">
        <v>111</v>
      </c>
      <c r="AF34" s="110" t="s">
        <v>111</v>
      </c>
      <c r="AG34" s="104" t="s">
        <v>18</v>
      </c>
      <c r="AH34" s="20" t="s">
        <v>18</v>
      </c>
      <c r="AI34" s="20" t="s">
        <v>23</v>
      </c>
      <c r="AJ34" s="20" t="s">
        <v>17</v>
      </c>
      <c r="AK34" s="20" t="s">
        <v>20</v>
      </c>
      <c r="AL34" s="20" t="s">
        <v>23</v>
      </c>
      <c r="AM34" s="105" t="s">
        <v>15</v>
      </c>
      <c r="AN34" s="44"/>
      <c r="AO34" s="24"/>
      <c r="AP34" s="19">
        <f>COUNTIF(E34:AM34,"=국")</f>
        <v>4</v>
      </c>
      <c r="AQ34" s="19">
        <f>COUNTIF(E34:AM34,"=수")</f>
        <v>2</v>
      </c>
      <c r="AR34" s="19">
        <f>COUNTIF(E34:AM34,"=사")</f>
        <v>3</v>
      </c>
      <c r="AS34" s="19">
        <f>COUNTIF(E34:AM34,"=과")</f>
        <v>2</v>
      </c>
      <c r="AT34" s="19">
        <f>COUNTIF(D34:AL34,"=실")</f>
        <v>2</v>
      </c>
      <c r="AU34" s="19">
        <f>COUNTIF(E34:AM34,"=체")</f>
        <v>2</v>
      </c>
      <c r="AV34" s="19">
        <f>COUNTIF(E34:AM34,"=음")</f>
        <v>2</v>
      </c>
      <c r="AW34" s="19">
        <f>COUNTIF(E34:AM34,"=미")</f>
        <v>1</v>
      </c>
      <c r="AX34" s="19">
        <f>COUNTIF(E34:AM34,"=자")</f>
        <v>5</v>
      </c>
      <c r="AY34" s="19">
        <f>COUNTIF(E34:AM34,"=동")</f>
        <v>1</v>
      </c>
      <c r="AZ34" s="19">
        <f>COUNTIF(E34:AM34,"=진")</f>
        <v>0</v>
      </c>
      <c r="BA34" s="19">
        <f>COUNTIF(E34:AM34,"=의")</f>
        <v>2</v>
      </c>
      <c r="BB34" s="19">
        <f>COUNTIF(E34:AM34,"=선")</f>
        <v>3</v>
      </c>
      <c r="BC34" s="15">
        <f>SUM(AP34:BB34)</f>
        <v>29</v>
      </c>
      <c r="BD34" s="12"/>
      <c r="BE34" s="12"/>
      <c r="BF34" s="12"/>
      <c r="BG34" s="12"/>
      <c r="BH34" s="12"/>
    </row>
    <row r="35" spans="1:60" ht="28.5" customHeight="1">
      <c r="A35" s="129"/>
      <c r="B35" s="20">
        <v>27</v>
      </c>
      <c r="C35" s="13" t="s">
        <v>64</v>
      </c>
      <c r="D35" s="56">
        <v>2</v>
      </c>
      <c r="E35" s="104" t="s">
        <v>15</v>
      </c>
      <c r="F35" s="20" t="s">
        <v>23</v>
      </c>
      <c r="G35" s="95" t="s">
        <v>27</v>
      </c>
      <c r="H35" s="20" t="s">
        <v>22</v>
      </c>
      <c r="I35" s="20" t="s">
        <v>21</v>
      </c>
      <c r="J35" s="102" t="s">
        <v>111</v>
      </c>
      <c r="K35" s="103" t="s">
        <v>111</v>
      </c>
      <c r="L35" s="104" t="s">
        <v>26</v>
      </c>
      <c r="M35" s="20" t="s">
        <v>20</v>
      </c>
      <c r="N35" s="20" t="s">
        <v>17</v>
      </c>
      <c r="O35" s="20" t="s">
        <v>16</v>
      </c>
      <c r="P35" s="20" t="s">
        <v>19</v>
      </c>
      <c r="Q35" s="20" t="s">
        <v>19</v>
      </c>
      <c r="R35" s="105" t="s">
        <v>15</v>
      </c>
      <c r="S35" s="170" t="s">
        <v>65</v>
      </c>
      <c r="T35" s="171"/>
      <c r="U35" s="171"/>
      <c r="V35" s="171"/>
      <c r="W35" s="171"/>
      <c r="X35" s="171"/>
      <c r="Y35" s="171"/>
      <c r="Z35" s="170" t="s">
        <v>66</v>
      </c>
      <c r="AA35" s="171"/>
      <c r="AB35" s="171"/>
      <c r="AC35" s="171"/>
      <c r="AD35" s="171"/>
      <c r="AE35" s="171"/>
      <c r="AF35" s="171"/>
      <c r="AG35" s="170" t="s">
        <v>67</v>
      </c>
      <c r="AH35" s="171"/>
      <c r="AI35" s="171"/>
      <c r="AJ35" s="171"/>
      <c r="AK35" s="171"/>
      <c r="AL35" s="171"/>
      <c r="AM35" s="171"/>
      <c r="AN35" s="44"/>
      <c r="AO35" s="24"/>
      <c r="AP35" s="19">
        <f>COUNTIF(E35:AM35,"=국")</f>
        <v>2</v>
      </c>
      <c r="AQ35" s="19">
        <f>COUNTIF(E35:AM35,"=수")</f>
        <v>1</v>
      </c>
      <c r="AR35" s="19">
        <f>COUNTIF(E35:AM35,"=사")</f>
        <v>1</v>
      </c>
      <c r="AS35" s="19">
        <f>COUNTIF(E35:AM35,"=과")</f>
        <v>0</v>
      </c>
      <c r="AT35" s="19">
        <f>COUNTIF(D35:AL35,"=실")</f>
        <v>2</v>
      </c>
      <c r="AU35" s="19">
        <f>COUNTIF(E35:AM35,"=체")</f>
        <v>1</v>
      </c>
      <c r="AV35" s="19">
        <f>COUNTIF(E35:AM35,"=음")</f>
        <v>1</v>
      </c>
      <c r="AW35" s="19">
        <f>COUNTIF(E35:AM35,"=미")</f>
        <v>1</v>
      </c>
      <c r="AX35" s="19">
        <f>COUNTIF(E35:AM35,"=자")</f>
        <v>1</v>
      </c>
      <c r="AY35" s="19">
        <f>COUNTIF(E35:AM35,"=동")</f>
        <v>0</v>
      </c>
      <c r="AZ35" s="19">
        <f>COUNTIF(E35:AM35,"=진")</f>
        <v>0</v>
      </c>
      <c r="BA35" s="19">
        <f>COUNTIF(E35:AM35,"=의")</f>
        <v>1</v>
      </c>
      <c r="BB35" s="19">
        <f>COUNTIF(E35:AM35,"=선")</f>
        <v>1</v>
      </c>
      <c r="BC35" s="15">
        <f>SUM(AP35:BB35)</f>
        <v>12</v>
      </c>
      <c r="BD35" s="12"/>
      <c r="BE35" s="12"/>
      <c r="BF35" s="12"/>
      <c r="BG35" s="12"/>
      <c r="BH35" s="12"/>
    </row>
    <row r="36" spans="1:60" ht="28.5" customHeight="1">
      <c r="A36" s="140">
        <v>10</v>
      </c>
      <c r="B36" s="20">
        <v>28</v>
      </c>
      <c r="C36" s="13" t="s">
        <v>68</v>
      </c>
      <c r="D36" s="56">
        <v>5</v>
      </c>
      <c r="E36" s="104" t="s">
        <v>15</v>
      </c>
      <c r="F36" s="20" t="s">
        <v>23</v>
      </c>
      <c r="G36" s="95" t="s">
        <v>27</v>
      </c>
      <c r="H36" s="20" t="s">
        <v>22</v>
      </c>
      <c r="I36" s="20" t="s">
        <v>21</v>
      </c>
      <c r="J36" s="102" t="s">
        <v>111</v>
      </c>
      <c r="K36" s="103" t="s">
        <v>111</v>
      </c>
      <c r="L36" s="104" t="s">
        <v>26</v>
      </c>
      <c r="M36" s="20" t="s">
        <v>20</v>
      </c>
      <c r="N36" s="20" t="s">
        <v>17</v>
      </c>
      <c r="O36" s="20" t="s">
        <v>16</v>
      </c>
      <c r="P36" s="20" t="s">
        <v>19</v>
      </c>
      <c r="Q36" s="20" t="s">
        <v>19</v>
      </c>
      <c r="R36" s="105" t="s">
        <v>15</v>
      </c>
      <c r="S36" s="104" t="s">
        <v>16</v>
      </c>
      <c r="T36" s="20" t="s">
        <v>15</v>
      </c>
      <c r="U36" s="20" t="s">
        <v>17</v>
      </c>
      <c r="V36" s="69" t="s">
        <v>26</v>
      </c>
      <c r="W36" s="69" t="s">
        <v>27</v>
      </c>
      <c r="X36" s="96" t="s">
        <v>111</v>
      </c>
      <c r="Y36" s="97" t="s">
        <v>111</v>
      </c>
      <c r="Z36" s="104" t="s">
        <v>24</v>
      </c>
      <c r="AA36" s="69" t="s">
        <v>21</v>
      </c>
      <c r="AB36" s="69" t="s">
        <v>15</v>
      </c>
      <c r="AC36" s="69" t="s">
        <v>27</v>
      </c>
      <c r="AD36" s="69" t="s">
        <v>23</v>
      </c>
      <c r="AE36" s="109" t="s">
        <v>111</v>
      </c>
      <c r="AF36" s="110" t="s">
        <v>111</v>
      </c>
      <c r="AG36" s="104" t="s">
        <v>18</v>
      </c>
      <c r="AH36" s="20" t="s">
        <v>18</v>
      </c>
      <c r="AI36" s="20" t="s">
        <v>23</v>
      </c>
      <c r="AJ36" s="20" t="s">
        <v>17</v>
      </c>
      <c r="AK36" s="20" t="s">
        <v>20</v>
      </c>
      <c r="AL36" s="20" t="s">
        <v>23</v>
      </c>
      <c r="AM36" s="105" t="s">
        <v>15</v>
      </c>
      <c r="AN36" s="45"/>
      <c r="AO36" s="24"/>
      <c r="AP36" s="19">
        <f>COUNTIF(E36:AM36,"=국")</f>
        <v>5</v>
      </c>
      <c r="AQ36" s="19">
        <f>COUNTIF(E36:AM36,"=수")</f>
        <v>2</v>
      </c>
      <c r="AR36" s="19">
        <f>COUNTIF(E36:AM36,"=사")</f>
        <v>3</v>
      </c>
      <c r="AS36" s="19">
        <f>COUNTIF(E36:AM36,"=과")</f>
        <v>2</v>
      </c>
      <c r="AT36" s="19">
        <f>COUNTIF(D36:AL36,"=실")</f>
        <v>2</v>
      </c>
      <c r="AU36" s="19">
        <f>COUNTIF(E36:AM36,"=체")</f>
        <v>2</v>
      </c>
      <c r="AV36" s="19">
        <f>COUNTIF(E36:AM36,"=음")</f>
        <v>2</v>
      </c>
      <c r="AW36" s="19">
        <f>COUNTIF(E36:AM36,"=미")</f>
        <v>1</v>
      </c>
      <c r="AX36" s="19">
        <f>COUNTIF(E36:AM36,"=자")</f>
        <v>4</v>
      </c>
      <c r="AY36" s="19">
        <f>COUNTIF(E36:AM36,"=동")</f>
        <v>1</v>
      </c>
      <c r="AZ36" s="19">
        <f>COUNTIF(E36:AM36,"=진")</f>
        <v>0</v>
      </c>
      <c r="BA36" s="19">
        <f>COUNTIF(E36:AM36,"=의")</f>
        <v>2</v>
      </c>
      <c r="BB36" s="19">
        <f>COUNTIF(E36:AM36,"=선")</f>
        <v>3</v>
      </c>
      <c r="BC36" s="15">
        <f>SUM(AP36:BB36)</f>
        <v>29</v>
      </c>
      <c r="BD36" s="12"/>
      <c r="BE36" s="12"/>
      <c r="BF36" s="12"/>
      <c r="BG36" s="12"/>
      <c r="BH36" s="12"/>
    </row>
    <row r="37" spans="1:60" ht="28.5" customHeight="1">
      <c r="A37" s="129"/>
      <c r="B37" s="20">
        <v>29</v>
      </c>
      <c r="C37" s="13" t="s">
        <v>69</v>
      </c>
      <c r="D37" s="56">
        <v>3</v>
      </c>
      <c r="E37" s="170" t="s">
        <v>30</v>
      </c>
      <c r="F37" s="171"/>
      <c r="G37" s="171"/>
      <c r="H37" s="171"/>
      <c r="I37" s="171"/>
      <c r="J37" s="171"/>
      <c r="K37" s="171"/>
      <c r="L37" s="104" t="s">
        <v>26</v>
      </c>
      <c r="M37" s="20" t="s">
        <v>20</v>
      </c>
      <c r="N37" s="20" t="s">
        <v>17</v>
      </c>
      <c r="O37" s="20" t="s">
        <v>16</v>
      </c>
      <c r="P37" s="20" t="s">
        <v>19</v>
      </c>
      <c r="Q37" s="20" t="s">
        <v>19</v>
      </c>
      <c r="R37" s="105" t="s">
        <v>15</v>
      </c>
      <c r="S37" s="104" t="s">
        <v>16</v>
      </c>
      <c r="T37" s="20" t="s">
        <v>15</v>
      </c>
      <c r="U37" s="20" t="s">
        <v>17</v>
      </c>
      <c r="V37" s="69" t="s">
        <v>26</v>
      </c>
      <c r="W37" s="69" t="s">
        <v>27</v>
      </c>
      <c r="X37" s="96" t="s">
        <v>111</v>
      </c>
      <c r="Y37" s="97" t="s">
        <v>111</v>
      </c>
      <c r="Z37" s="104" t="s">
        <v>24</v>
      </c>
      <c r="AA37" s="69" t="s">
        <v>21</v>
      </c>
      <c r="AB37" s="69" t="s">
        <v>15</v>
      </c>
      <c r="AC37" s="69" t="s">
        <v>27</v>
      </c>
      <c r="AD37" s="69" t="s">
        <v>23</v>
      </c>
      <c r="AE37" s="102" t="s">
        <v>111</v>
      </c>
      <c r="AF37" s="103" t="s">
        <v>111</v>
      </c>
      <c r="AG37" s="174" t="s">
        <v>70</v>
      </c>
      <c r="AH37" s="173"/>
      <c r="AI37" s="173"/>
      <c r="AJ37" s="173"/>
      <c r="AK37" s="173"/>
      <c r="AL37" s="173"/>
      <c r="AM37" s="173"/>
      <c r="AN37" s="45"/>
      <c r="AO37" s="24"/>
      <c r="AP37" s="19">
        <f>COUNTIF(E37:AM37,"=국")</f>
        <v>3</v>
      </c>
      <c r="AQ37" s="19">
        <f>COUNTIF(E37:AM37,"=수")</f>
        <v>2</v>
      </c>
      <c r="AR37" s="19">
        <f>COUNTIF(E37:AM37,"=사")</f>
        <v>2</v>
      </c>
      <c r="AS37" s="19">
        <f>COUNTIF(E37:AM37,"=과")</f>
        <v>0</v>
      </c>
      <c r="AT37" s="19">
        <f>COUNTIF(D37:AL37,"=실")</f>
        <v>2</v>
      </c>
      <c r="AU37" s="19">
        <f>COUNTIF(E37:AM37,"=체")</f>
        <v>1</v>
      </c>
      <c r="AV37" s="19">
        <f>COUNTIF(E37:AM37,"=음")</f>
        <v>1</v>
      </c>
      <c r="AW37" s="19">
        <f>COUNTIF(E37:AM37,"=미")</f>
        <v>0</v>
      </c>
      <c r="AX37" s="19">
        <f>COUNTIF(E37:AM37,"=자")</f>
        <v>1</v>
      </c>
      <c r="AY37" s="19">
        <f>COUNTIF(E37:AM37,"=동")</f>
        <v>1</v>
      </c>
      <c r="AZ37" s="19">
        <f>COUNTIF(E37:AM37,"=진")</f>
        <v>0</v>
      </c>
      <c r="BA37" s="19">
        <f>COUNTIF(E37:AM37,"=의")</f>
        <v>2</v>
      </c>
      <c r="BB37" s="19">
        <f>COUNTIF(E37:AM37,"=선")</f>
        <v>2</v>
      </c>
      <c r="BC37" s="15">
        <f>SUM(AP37:BB37)</f>
        <v>17</v>
      </c>
      <c r="BD37" s="12"/>
      <c r="BE37" s="12"/>
      <c r="BF37" s="12"/>
      <c r="BG37" s="12"/>
      <c r="BH37" s="12"/>
    </row>
    <row r="38" spans="1:60" ht="28.5" customHeight="1">
      <c r="A38" s="129"/>
      <c r="B38" s="20">
        <v>30</v>
      </c>
      <c r="C38" s="13" t="s">
        <v>71</v>
      </c>
      <c r="D38" s="56">
        <v>5</v>
      </c>
      <c r="E38" s="104" t="s">
        <v>15</v>
      </c>
      <c r="F38" s="20" t="s">
        <v>23</v>
      </c>
      <c r="G38" s="20" t="s">
        <v>16</v>
      </c>
      <c r="H38" s="20" t="s">
        <v>22</v>
      </c>
      <c r="I38" s="20" t="s">
        <v>21</v>
      </c>
      <c r="J38" s="102" t="s">
        <v>111</v>
      </c>
      <c r="K38" s="103" t="s">
        <v>111</v>
      </c>
      <c r="L38" s="104" t="s">
        <v>26</v>
      </c>
      <c r="M38" s="20" t="s">
        <v>20</v>
      </c>
      <c r="N38" s="20" t="s">
        <v>17</v>
      </c>
      <c r="O38" s="20" t="s">
        <v>16</v>
      </c>
      <c r="P38" s="20" t="s">
        <v>19</v>
      </c>
      <c r="Q38" s="20" t="s">
        <v>19</v>
      </c>
      <c r="R38" s="105" t="s">
        <v>15</v>
      </c>
      <c r="S38" s="104" t="s">
        <v>16</v>
      </c>
      <c r="T38" s="20" t="s">
        <v>15</v>
      </c>
      <c r="U38" s="20" t="s">
        <v>17</v>
      </c>
      <c r="V38" s="69" t="s">
        <v>26</v>
      </c>
      <c r="W38" s="69" t="s">
        <v>27</v>
      </c>
      <c r="X38" s="96" t="s">
        <v>111</v>
      </c>
      <c r="Y38" s="97" t="s">
        <v>111</v>
      </c>
      <c r="Z38" s="104" t="s">
        <v>24</v>
      </c>
      <c r="AA38" s="69" t="s">
        <v>21</v>
      </c>
      <c r="AB38" s="69" t="s">
        <v>15</v>
      </c>
      <c r="AC38" s="69" t="s">
        <v>27</v>
      </c>
      <c r="AD38" s="69" t="s">
        <v>23</v>
      </c>
      <c r="AE38" s="109" t="s">
        <v>111</v>
      </c>
      <c r="AF38" s="110" t="s">
        <v>111</v>
      </c>
      <c r="AG38" s="104" t="s">
        <v>18</v>
      </c>
      <c r="AH38" s="20" t="s">
        <v>18</v>
      </c>
      <c r="AI38" s="20" t="s">
        <v>23</v>
      </c>
      <c r="AJ38" s="20" t="s">
        <v>17</v>
      </c>
      <c r="AK38" s="20" t="s">
        <v>20</v>
      </c>
      <c r="AL38" s="20" t="s">
        <v>23</v>
      </c>
      <c r="AM38" s="105" t="s">
        <v>15</v>
      </c>
      <c r="AN38" s="45"/>
      <c r="AO38" s="24"/>
      <c r="AP38" s="19">
        <f>COUNTIF(E38:AM38,"=국")</f>
        <v>5</v>
      </c>
      <c r="AQ38" s="19">
        <f>COUNTIF(E38:AM38,"=수")</f>
        <v>3</v>
      </c>
      <c r="AR38" s="19">
        <f>COUNTIF(E38:AM38,"=사")</f>
        <v>3</v>
      </c>
      <c r="AS38" s="19">
        <f>COUNTIF(E38:AM38,"=과")</f>
        <v>2</v>
      </c>
      <c r="AT38" s="19">
        <f>COUNTIF(D38:AL38,"=실")</f>
        <v>2</v>
      </c>
      <c r="AU38" s="19">
        <f>COUNTIF(E38:AM38,"=체")</f>
        <v>2</v>
      </c>
      <c r="AV38" s="19">
        <f>COUNTIF(E38:AM38,"=음")</f>
        <v>2</v>
      </c>
      <c r="AW38" s="19">
        <f>COUNTIF(E38:AM38,"=미")</f>
        <v>1</v>
      </c>
      <c r="AX38" s="19">
        <f>COUNTIF(E38:AM38,"=자")</f>
        <v>4</v>
      </c>
      <c r="AY38" s="19">
        <f>COUNTIF(E38:AM38,"=동")</f>
        <v>1</v>
      </c>
      <c r="AZ38" s="19">
        <f>COUNTIF(E38:AM38,"=진")</f>
        <v>0</v>
      </c>
      <c r="BA38" s="19">
        <f>COUNTIF(E38:AM38,"=의")</f>
        <v>2</v>
      </c>
      <c r="BB38" s="19">
        <f>COUNTIF(E38:AM38,"=선")</f>
        <v>2</v>
      </c>
      <c r="BC38" s="15">
        <f>SUM(AP38:BB38)</f>
        <v>29</v>
      </c>
      <c r="BD38" s="12"/>
      <c r="BE38" s="12"/>
      <c r="BF38" s="12"/>
      <c r="BG38" s="12"/>
      <c r="BH38" s="12"/>
    </row>
    <row r="39" spans="1:60" ht="28.5" customHeight="1">
      <c r="A39" s="129"/>
      <c r="B39" s="20">
        <v>31</v>
      </c>
      <c r="C39" s="13" t="s">
        <v>72</v>
      </c>
      <c r="D39" s="56">
        <v>5</v>
      </c>
      <c r="E39" s="104" t="s">
        <v>15</v>
      </c>
      <c r="F39" s="20" t="s">
        <v>23</v>
      </c>
      <c r="G39" s="20" t="s">
        <v>16</v>
      </c>
      <c r="H39" s="20" t="s">
        <v>22</v>
      </c>
      <c r="I39" s="20" t="s">
        <v>21</v>
      </c>
      <c r="J39" s="102" t="s">
        <v>111</v>
      </c>
      <c r="K39" s="103" t="s">
        <v>111</v>
      </c>
      <c r="L39" s="104" t="s">
        <v>26</v>
      </c>
      <c r="M39" s="20" t="s">
        <v>20</v>
      </c>
      <c r="N39" s="20" t="s">
        <v>17</v>
      </c>
      <c r="O39" s="20" t="s">
        <v>16</v>
      </c>
      <c r="P39" s="20" t="s">
        <v>19</v>
      </c>
      <c r="Q39" s="20" t="s">
        <v>19</v>
      </c>
      <c r="R39" s="105" t="s">
        <v>15</v>
      </c>
      <c r="S39" s="104" t="s">
        <v>16</v>
      </c>
      <c r="T39" s="20" t="s">
        <v>15</v>
      </c>
      <c r="U39" s="20" t="s">
        <v>17</v>
      </c>
      <c r="V39" s="69" t="s">
        <v>26</v>
      </c>
      <c r="W39" s="69" t="s">
        <v>27</v>
      </c>
      <c r="X39" s="96" t="s">
        <v>111</v>
      </c>
      <c r="Y39" s="97" t="s">
        <v>111</v>
      </c>
      <c r="Z39" s="104" t="s">
        <v>24</v>
      </c>
      <c r="AA39" s="69" t="s">
        <v>21</v>
      </c>
      <c r="AB39" s="69" t="s">
        <v>15</v>
      </c>
      <c r="AC39" s="69" t="s">
        <v>27</v>
      </c>
      <c r="AD39" s="69" t="s">
        <v>23</v>
      </c>
      <c r="AE39" s="102" t="s">
        <v>111</v>
      </c>
      <c r="AF39" s="103" t="s">
        <v>111</v>
      </c>
      <c r="AG39" s="104" t="s">
        <v>18</v>
      </c>
      <c r="AH39" s="20" t="s">
        <v>18</v>
      </c>
      <c r="AI39" s="20" t="s">
        <v>23</v>
      </c>
      <c r="AJ39" s="20" t="s">
        <v>17</v>
      </c>
      <c r="AK39" s="20" t="s">
        <v>20</v>
      </c>
      <c r="AL39" s="20" t="s">
        <v>23</v>
      </c>
      <c r="AM39" s="105" t="s">
        <v>15</v>
      </c>
      <c r="AN39" s="44"/>
      <c r="AO39" s="24"/>
      <c r="AP39" s="19">
        <f>COUNTIF(E39:AM39,"=국")</f>
        <v>5</v>
      </c>
      <c r="AQ39" s="19">
        <f>COUNTIF(E39:AM39,"=수")</f>
        <v>3</v>
      </c>
      <c r="AR39" s="19">
        <f>COUNTIF(E39:AM39,"=사")</f>
        <v>3</v>
      </c>
      <c r="AS39" s="19">
        <f>COUNTIF(E39:AM39,"=과")</f>
        <v>2</v>
      </c>
      <c r="AT39" s="19">
        <f>COUNTIF(D39:AL39,"=실")</f>
        <v>2</v>
      </c>
      <c r="AU39" s="19">
        <f>COUNTIF(E39:AM39,"=체")</f>
        <v>2</v>
      </c>
      <c r="AV39" s="19">
        <f>COUNTIF(E39:AM39,"=음")</f>
        <v>2</v>
      </c>
      <c r="AW39" s="19">
        <f>COUNTIF(E39:AM39,"=미")</f>
        <v>1</v>
      </c>
      <c r="AX39" s="19">
        <f>COUNTIF(E39:AM39,"=자")</f>
        <v>4</v>
      </c>
      <c r="AY39" s="19">
        <f>COUNTIF(E39:AM39,"=동")</f>
        <v>1</v>
      </c>
      <c r="AZ39" s="19">
        <f>COUNTIF(E39:AM39,"=진")</f>
        <v>0</v>
      </c>
      <c r="BA39" s="19">
        <f>COUNTIF(E39:AM39,"=의")</f>
        <v>2</v>
      </c>
      <c r="BB39" s="19">
        <f>COUNTIF(E39:AM39,"=선")</f>
        <v>2</v>
      </c>
      <c r="BC39" s="15">
        <f>SUM(AP39:BB39)</f>
        <v>29</v>
      </c>
      <c r="BD39" s="12"/>
      <c r="BE39" s="12"/>
      <c r="BF39" s="12"/>
      <c r="BG39" s="12"/>
      <c r="BH39" s="12"/>
    </row>
    <row r="40" spans="1:60" ht="28.5" customHeight="1">
      <c r="A40" s="141"/>
      <c r="B40" s="20">
        <v>32</v>
      </c>
      <c r="C40" s="13" t="s">
        <v>73</v>
      </c>
      <c r="D40" s="56">
        <v>5</v>
      </c>
      <c r="E40" s="104" t="s">
        <v>23</v>
      </c>
      <c r="F40" s="20" t="s">
        <v>23</v>
      </c>
      <c r="G40" s="20" t="s">
        <v>16</v>
      </c>
      <c r="H40" s="20" t="s">
        <v>22</v>
      </c>
      <c r="I40" s="20" t="s">
        <v>21</v>
      </c>
      <c r="J40" s="102" t="s">
        <v>111</v>
      </c>
      <c r="K40" s="103" t="s">
        <v>111</v>
      </c>
      <c r="L40" s="104" t="s">
        <v>26</v>
      </c>
      <c r="M40" s="20" t="s">
        <v>20</v>
      </c>
      <c r="N40" s="20" t="s">
        <v>17</v>
      </c>
      <c r="O40" s="20" t="s">
        <v>16</v>
      </c>
      <c r="P40" s="20" t="s">
        <v>19</v>
      </c>
      <c r="Q40" s="20" t="s">
        <v>19</v>
      </c>
      <c r="R40" s="105" t="s">
        <v>15</v>
      </c>
      <c r="S40" s="104" t="s">
        <v>16</v>
      </c>
      <c r="T40" s="20" t="s">
        <v>15</v>
      </c>
      <c r="U40" s="20" t="s">
        <v>17</v>
      </c>
      <c r="V40" s="69" t="s">
        <v>26</v>
      </c>
      <c r="W40" s="69" t="s">
        <v>27</v>
      </c>
      <c r="X40" s="96" t="s">
        <v>111</v>
      </c>
      <c r="Y40" s="97" t="s">
        <v>111</v>
      </c>
      <c r="Z40" s="104" t="s">
        <v>24</v>
      </c>
      <c r="AA40" s="69" t="s">
        <v>21</v>
      </c>
      <c r="AB40" s="69" t="s">
        <v>15</v>
      </c>
      <c r="AC40" s="69" t="s">
        <v>27</v>
      </c>
      <c r="AD40" s="69" t="s">
        <v>23</v>
      </c>
      <c r="AE40" s="102" t="s">
        <v>111</v>
      </c>
      <c r="AF40" s="103" t="s">
        <v>111</v>
      </c>
      <c r="AG40" s="104" t="s">
        <v>18</v>
      </c>
      <c r="AH40" s="20" t="s">
        <v>18</v>
      </c>
      <c r="AI40" s="20" t="s">
        <v>23</v>
      </c>
      <c r="AJ40" s="20" t="s">
        <v>17</v>
      </c>
      <c r="AK40" s="20" t="s">
        <v>20</v>
      </c>
      <c r="AL40" s="20" t="s">
        <v>23</v>
      </c>
      <c r="AM40" s="105" t="s">
        <v>15</v>
      </c>
      <c r="AN40" s="44"/>
      <c r="AO40" s="24"/>
      <c r="AP40" s="19">
        <f>COUNTIF(E40:AM40,"=국")</f>
        <v>4</v>
      </c>
      <c r="AQ40" s="19">
        <f>COUNTIF(E40:AM40,"=수")</f>
        <v>3</v>
      </c>
      <c r="AR40" s="19">
        <f>COUNTIF(E40:AM40,"=사")</f>
        <v>3</v>
      </c>
      <c r="AS40" s="19">
        <f>COUNTIF(E40:AM40,"=과")</f>
        <v>2</v>
      </c>
      <c r="AT40" s="19">
        <f>COUNTIF(D40:AL40,"=실")</f>
        <v>2</v>
      </c>
      <c r="AU40" s="19">
        <f>COUNTIF(E40:AM40,"=체")</f>
        <v>2</v>
      </c>
      <c r="AV40" s="19">
        <f>COUNTIF(E40:AM40,"=음")</f>
        <v>2</v>
      </c>
      <c r="AW40" s="19">
        <f>COUNTIF(E40:AM40,"=미")</f>
        <v>1</v>
      </c>
      <c r="AX40" s="19">
        <f>COUNTIF(E40:AM40,"=자")</f>
        <v>5</v>
      </c>
      <c r="AY40" s="19">
        <f>COUNTIF(E40:AM40,"=동")</f>
        <v>1</v>
      </c>
      <c r="AZ40" s="19">
        <f>COUNTIF(E40:AM40,"=진")</f>
        <v>0</v>
      </c>
      <c r="BA40" s="19">
        <f>COUNTIF(E40:AM40,"=의")</f>
        <v>2</v>
      </c>
      <c r="BB40" s="19">
        <f>COUNTIF(E40:AM40,"=선")</f>
        <v>2</v>
      </c>
      <c r="BC40" s="15">
        <f>SUM(AP40:BB40)</f>
        <v>29</v>
      </c>
      <c r="BD40" s="12"/>
      <c r="BE40" s="12"/>
      <c r="BF40" s="12"/>
      <c r="BG40" s="12"/>
      <c r="BH40" s="12"/>
    </row>
    <row r="41" spans="1:60" ht="28.5" customHeight="1">
      <c r="A41" s="129">
        <v>11</v>
      </c>
      <c r="B41" s="20">
        <v>33</v>
      </c>
      <c r="C41" s="13" t="s">
        <v>74</v>
      </c>
      <c r="D41" s="56">
        <v>5</v>
      </c>
      <c r="E41" s="104" t="s">
        <v>23</v>
      </c>
      <c r="F41" s="20" t="s">
        <v>23</v>
      </c>
      <c r="G41" s="20" t="s">
        <v>16</v>
      </c>
      <c r="H41" s="20" t="s">
        <v>22</v>
      </c>
      <c r="I41" s="20" t="s">
        <v>21</v>
      </c>
      <c r="J41" s="102" t="s">
        <v>111</v>
      </c>
      <c r="K41" s="103" t="s">
        <v>111</v>
      </c>
      <c r="L41" s="104" t="s">
        <v>26</v>
      </c>
      <c r="M41" s="20" t="s">
        <v>20</v>
      </c>
      <c r="N41" s="20" t="s">
        <v>17</v>
      </c>
      <c r="O41" s="20" t="s">
        <v>16</v>
      </c>
      <c r="P41" s="20" t="s">
        <v>19</v>
      </c>
      <c r="Q41" s="20" t="s">
        <v>19</v>
      </c>
      <c r="R41" s="105" t="s">
        <v>15</v>
      </c>
      <c r="S41" s="104" t="s">
        <v>16</v>
      </c>
      <c r="T41" s="20" t="s">
        <v>15</v>
      </c>
      <c r="U41" s="20" t="s">
        <v>17</v>
      </c>
      <c r="V41" s="69" t="s">
        <v>26</v>
      </c>
      <c r="W41" s="69" t="s">
        <v>27</v>
      </c>
      <c r="X41" s="96" t="s">
        <v>111</v>
      </c>
      <c r="Y41" s="97" t="s">
        <v>111</v>
      </c>
      <c r="Z41" s="104" t="s">
        <v>24</v>
      </c>
      <c r="AA41" s="69" t="s">
        <v>21</v>
      </c>
      <c r="AB41" s="69" t="s">
        <v>15</v>
      </c>
      <c r="AC41" s="69" t="s">
        <v>27</v>
      </c>
      <c r="AD41" s="69" t="s">
        <v>23</v>
      </c>
      <c r="AE41" s="102" t="s">
        <v>111</v>
      </c>
      <c r="AF41" s="103" t="s">
        <v>111</v>
      </c>
      <c r="AG41" s="104" t="s">
        <v>18</v>
      </c>
      <c r="AH41" s="20" t="s">
        <v>18</v>
      </c>
      <c r="AI41" s="20" t="s">
        <v>23</v>
      </c>
      <c r="AJ41" s="20" t="s">
        <v>17</v>
      </c>
      <c r="AK41" s="20" t="s">
        <v>20</v>
      </c>
      <c r="AL41" s="20" t="s">
        <v>23</v>
      </c>
      <c r="AM41" s="105" t="s">
        <v>15</v>
      </c>
      <c r="AN41" s="44"/>
      <c r="AO41" s="24"/>
      <c r="AP41" s="19">
        <f>COUNTIF(E41:AM41,"=국")</f>
        <v>4</v>
      </c>
      <c r="AQ41" s="19">
        <f>COUNTIF(E41:AM41,"=수")</f>
        <v>3</v>
      </c>
      <c r="AR41" s="19">
        <f>COUNTIF(E41:AM41,"=사")</f>
        <v>3</v>
      </c>
      <c r="AS41" s="19">
        <f>COUNTIF(E41:AM41,"=과")</f>
        <v>2</v>
      </c>
      <c r="AT41" s="19">
        <f>COUNTIF(D41:AL41,"=실")</f>
        <v>2</v>
      </c>
      <c r="AU41" s="19">
        <f>COUNTIF(E41:AM41,"=체")</f>
        <v>2</v>
      </c>
      <c r="AV41" s="19">
        <f>COUNTIF(E41:AM41,"=음")</f>
        <v>2</v>
      </c>
      <c r="AW41" s="19">
        <f>COUNTIF(E41:AM41,"=미")</f>
        <v>1</v>
      </c>
      <c r="AX41" s="19">
        <f>COUNTIF(E41:AM41,"=자")</f>
        <v>5</v>
      </c>
      <c r="AY41" s="19">
        <f>COUNTIF(E41:AM41,"=동")</f>
        <v>1</v>
      </c>
      <c r="AZ41" s="19">
        <f>COUNTIF(E41:AM41,"=진")</f>
        <v>0</v>
      </c>
      <c r="BA41" s="19">
        <f>COUNTIF(E41:AM41,"=의")</f>
        <v>2</v>
      </c>
      <c r="BB41" s="19">
        <f>COUNTIF(E41:AM41,"=선")</f>
        <v>2</v>
      </c>
      <c r="BC41" s="15">
        <f>SUM(AP41:BB41)</f>
        <v>29</v>
      </c>
      <c r="BD41" s="12"/>
      <c r="BE41" s="12"/>
      <c r="BF41" s="12"/>
      <c r="BG41" s="12"/>
      <c r="BH41" s="12"/>
    </row>
    <row r="42" spans="1:60" ht="28.5" customHeight="1">
      <c r="A42" s="129"/>
      <c r="B42" s="20">
        <v>34</v>
      </c>
      <c r="C42" s="13" t="s">
        <v>75</v>
      </c>
      <c r="D42" s="56">
        <v>5</v>
      </c>
      <c r="E42" s="104" t="s">
        <v>15</v>
      </c>
      <c r="F42" s="20" t="s">
        <v>23</v>
      </c>
      <c r="G42" s="20" t="s">
        <v>16</v>
      </c>
      <c r="H42" s="20" t="s">
        <v>22</v>
      </c>
      <c r="I42" s="20" t="s">
        <v>22</v>
      </c>
      <c r="J42" s="102" t="s">
        <v>111</v>
      </c>
      <c r="K42" s="103" t="s">
        <v>111</v>
      </c>
      <c r="L42" s="104" t="s">
        <v>26</v>
      </c>
      <c r="M42" s="20" t="s">
        <v>20</v>
      </c>
      <c r="N42" s="20" t="s">
        <v>17</v>
      </c>
      <c r="O42" s="20" t="s">
        <v>16</v>
      </c>
      <c r="P42" s="20" t="s">
        <v>19</v>
      </c>
      <c r="Q42" s="20" t="s">
        <v>19</v>
      </c>
      <c r="R42" s="105" t="s">
        <v>15</v>
      </c>
      <c r="S42" s="104" t="s">
        <v>16</v>
      </c>
      <c r="T42" s="20" t="s">
        <v>15</v>
      </c>
      <c r="U42" s="20" t="s">
        <v>17</v>
      </c>
      <c r="V42" s="69" t="s">
        <v>26</v>
      </c>
      <c r="W42" s="69" t="s">
        <v>27</v>
      </c>
      <c r="X42" s="96" t="s">
        <v>111</v>
      </c>
      <c r="Y42" s="97" t="s">
        <v>111</v>
      </c>
      <c r="Z42" s="104" t="s">
        <v>24</v>
      </c>
      <c r="AA42" s="69" t="s">
        <v>21</v>
      </c>
      <c r="AB42" s="69" t="s">
        <v>15</v>
      </c>
      <c r="AC42" s="69" t="s">
        <v>27</v>
      </c>
      <c r="AD42" s="69" t="s">
        <v>23</v>
      </c>
      <c r="AE42" s="102" t="s">
        <v>111</v>
      </c>
      <c r="AF42" s="103" t="s">
        <v>111</v>
      </c>
      <c r="AG42" s="104" t="s">
        <v>18</v>
      </c>
      <c r="AH42" s="20" t="s">
        <v>18</v>
      </c>
      <c r="AI42" s="20" t="s">
        <v>23</v>
      </c>
      <c r="AJ42" s="20" t="s">
        <v>17</v>
      </c>
      <c r="AK42" s="20" t="s">
        <v>20</v>
      </c>
      <c r="AL42" s="20" t="s">
        <v>23</v>
      </c>
      <c r="AM42" s="105" t="s">
        <v>15</v>
      </c>
      <c r="AN42" s="44"/>
      <c r="AO42" s="24"/>
      <c r="AP42" s="19">
        <f>COUNTIF(E42:AM42,"=국")</f>
        <v>5</v>
      </c>
      <c r="AQ42" s="19">
        <f>COUNTIF(E42:AM42,"=수")</f>
        <v>3</v>
      </c>
      <c r="AR42" s="19">
        <f>COUNTIF(E42:AM42,"=사")</f>
        <v>3</v>
      </c>
      <c r="AS42" s="19">
        <f>COUNTIF(E42:AM42,"=과")</f>
        <v>2</v>
      </c>
      <c r="AT42" s="19">
        <f>COUNTIF(D42:AL42,"=실")</f>
        <v>2</v>
      </c>
      <c r="AU42" s="19">
        <f>COUNTIF(E42:AM42,"=체")</f>
        <v>2</v>
      </c>
      <c r="AV42" s="19">
        <f>COUNTIF(E42:AM42,"=음")</f>
        <v>1</v>
      </c>
      <c r="AW42" s="19">
        <f>COUNTIF(E42:AM42,"=미")</f>
        <v>2</v>
      </c>
      <c r="AX42" s="19">
        <f>COUNTIF(E42:AM42,"=자")</f>
        <v>4</v>
      </c>
      <c r="AY42" s="19">
        <f>COUNTIF(E42:AM42,"=동")</f>
        <v>1</v>
      </c>
      <c r="AZ42" s="19">
        <f>COUNTIF(E42:AM42,"=진")</f>
        <v>0</v>
      </c>
      <c r="BA42" s="19">
        <f>COUNTIF(E42:AM42,"=의")</f>
        <v>2</v>
      </c>
      <c r="BB42" s="19">
        <f>COUNTIF(E42:AM42,"=선")</f>
        <v>2</v>
      </c>
      <c r="BC42" s="15">
        <f>SUM(AP42:BB42)</f>
        <v>29</v>
      </c>
      <c r="BD42" s="12"/>
      <c r="BE42" s="12"/>
      <c r="BF42" s="12"/>
      <c r="BG42" s="12"/>
      <c r="BH42" s="12"/>
    </row>
    <row r="43" spans="1:60" ht="28.5" customHeight="1">
      <c r="A43" s="129"/>
      <c r="B43" s="20">
        <v>35</v>
      </c>
      <c r="C43" s="13" t="s">
        <v>76</v>
      </c>
      <c r="D43" s="56">
        <v>5</v>
      </c>
      <c r="E43" s="104" t="s">
        <v>15</v>
      </c>
      <c r="F43" s="20" t="s">
        <v>23</v>
      </c>
      <c r="G43" s="20" t="s">
        <v>16</v>
      </c>
      <c r="H43" s="20" t="s">
        <v>22</v>
      </c>
      <c r="I43" s="20" t="s">
        <v>22</v>
      </c>
      <c r="J43" s="102" t="s">
        <v>111</v>
      </c>
      <c r="K43" s="103" t="s">
        <v>111</v>
      </c>
      <c r="L43" s="104" t="s">
        <v>26</v>
      </c>
      <c r="M43" s="20" t="s">
        <v>20</v>
      </c>
      <c r="N43" s="20" t="s">
        <v>17</v>
      </c>
      <c r="O43" s="20" t="s">
        <v>16</v>
      </c>
      <c r="P43" s="20" t="s">
        <v>19</v>
      </c>
      <c r="Q43" s="20" t="s">
        <v>19</v>
      </c>
      <c r="R43" s="105" t="s">
        <v>15</v>
      </c>
      <c r="S43" s="104" t="s">
        <v>16</v>
      </c>
      <c r="T43" s="20" t="s">
        <v>15</v>
      </c>
      <c r="U43" s="20" t="s">
        <v>17</v>
      </c>
      <c r="V43" s="69" t="s">
        <v>26</v>
      </c>
      <c r="W43" s="69" t="s">
        <v>27</v>
      </c>
      <c r="X43" s="96" t="s">
        <v>111</v>
      </c>
      <c r="Y43" s="97" t="s">
        <v>111</v>
      </c>
      <c r="Z43" s="104" t="s">
        <v>24</v>
      </c>
      <c r="AA43" s="69" t="s">
        <v>21</v>
      </c>
      <c r="AB43" s="69" t="s">
        <v>15</v>
      </c>
      <c r="AC43" s="69" t="s">
        <v>27</v>
      </c>
      <c r="AD43" s="69" t="s">
        <v>23</v>
      </c>
      <c r="AE43" s="102" t="s">
        <v>111</v>
      </c>
      <c r="AF43" s="103" t="s">
        <v>111</v>
      </c>
      <c r="AG43" s="104" t="s">
        <v>18</v>
      </c>
      <c r="AH43" s="20" t="s">
        <v>18</v>
      </c>
      <c r="AI43" s="20" t="s">
        <v>23</v>
      </c>
      <c r="AJ43" s="20" t="s">
        <v>17</v>
      </c>
      <c r="AK43" s="20" t="s">
        <v>20</v>
      </c>
      <c r="AL43" s="20" t="s">
        <v>23</v>
      </c>
      <c r="AM43" s="105" t="s">
        <v>15</v>
      </c>
      <c r="AN43" s="44"/>
      <c r="AO43" s="24"/>
      <c r="AP43" s="19">
        <f>COUNTIF(E43:AM43,"=국")</f>
        <v>5</v>
      </c>
      <c r="AQ43" s="19">
        <f>COUNTIF(E43:AM43,"=수")</f>
        <v>3</v>
      </c>
      <c r="AR43" s="19">
        <f>COUNTIF(E43:AM43,"=사")</f>
        <v>3</v>
      </c>
      <c r="AS43" s="19">
        <f>COUNTIF(E43:AM43,"=과")</f>
        <v>2</v>
      </c>
      <c r="AT43" s="19">
        <f>COUNTIF(D43:AL43,"=실")</f>
        <v>2</v>
      </c>
      <c r="AU43" s="19">
        <f>COUNTIF(E43:AM43,"=체")</f>
        <v>2</v>
      </c>
      <c r="AV43" s="19">
        <f>COUNTIF(E43:AM43,"=음")</f>
        <v>1</v>
      </c>
      <c r="AW43" s="19">
        <f>COUNTIF(E43:AM43,"=미")</f>
        <v>2</v>
      </c>
      <c r="AX43" s="19">
        <f>COUNTIF(E43:AM43,"=자")</f>
        <v>4</v>
      </c>
      <c r="AY43" s="19">
        <f>COUNTIF(E43:AM43,"=동")</f>
        <v>1</v>
      </c>
      <c r="AZ43" s="19">
        <f>COUNTIF(E43:AM43,"=진")</f>
        <v>0</v>
      </c>
      <c r="BA43" s="19">
        <f>COUNTIF(E43:AM43,"=의")</f>
        <v>2</v>
      </c>
      <c r="BB43" s="19">
        <f>COUNTIF(E43:AM43,"=선")</f>
        <v>2</v>
      </c>
      <c r="BC43" s="15">
        <f>SUM(AP43:BB43)</f>
        <v>29</v>
      </c>
      <c r="BD43" s="12"/>
      <c r="BE43" s="12"/>
      <c r="BF43" s="12"/>
      <c r="BG43" s="12"/>
      <c r="BH43" s="12"/>
    </row>
    <row r="44" spans="1:60" ht="28.5" customHeight="1">
      <c r="A44" s="129"/>
      <c r="B44" s="20">
        <v>36</v>
      </c>
      <c r="C44" s="13" t="s">
        <v>77</v>
      </c>
      <c r="D44" s="56">
        <v>5</v>
      </c>
      <c r="E44" s="104" t="s">
        <v>15</v>
      </c>
      <c r="F44" s="20" t="s">
        <v>23</v>
      </c>
      <c r="G44" s="20" t="s">
        <v>16</v>
      </c>
      <c r="H44" s="20" t="s">
        <v>22</v>
      </c>
      <c r="I44" s="20" t="s">
        <v>22</v>
      </c>
      <c r="J44" s="102" t="s">
        <v>111</v>
      </c>
      <c r="K44" s="103" t="s">
        <v>111</v>
      </c>
      <c r="L44" s="104" t="s">
        <v>26</v>
      </c>
      <c r="M44" s="20" t="s">
        <v>20</v>
      </c>
      <c r="N44" s="20" t="s">
        <v>17</v>
      </c>
      <c r="O44" s="20" t="s">
        <v>16</v>
      </c>
      <c r="P44" s="20" t="s">
        <v>19</v>
      </c>
      <c r="Q44" s="20" t="s">
        <v>19</v>
      </c>
      <c r="R44" s="105" t="s">
        <v>15</v>
      </c>
      <c r="S44" s="104" t="s">
        <v>16</v>
      </c>
      <c r="T44" s="20" t="s">
        <v>15</v>
      </c>
      <c r="U44" s="20" t="s">
        <v>17</v>
      </c>
      <c r="V44" s="69" t="s">
        <v>26</v>
      </c>
      <c r="W44" s="69" t="s">
        <v>27</v>
      </c>
      <c r="X44" s="96" t="s">
        <v>111</v>
      </c>
      <c r="Y44" s="97" t="s">
        <v>111</v>
      </c>
      <c r="Z44" s="104" t="s">
        <v>24</v>
      </c>
      <c r="AA44" s="69" t="s">
        <v>21</v>
      </c>
      <c r="AB44" s="69" t="s">
        <v>15</v>
      </c>
      <c r="AC44" s="69" t="s">
        <v>27</v>
      </c>
      <c r="AD44" s="69" t="s">
        <v>23</v>
      </c>
      <c r="AE44" s="102" t="s">
        <v>111</v>
      </c>
      <c r="AF44" s="103" t="s">
        <v>111</v>
      </c>
      <c r="AG44" s="104" t="s">
        <v>18</v>
      </c>
      <c r="AH44" s="20" t="s">
        <v>18</v>
      </c>
      <c r="AI44" s="20" t="s">
        <v>23</v>
      </c>
      <c r="AJ44" s="20" t="s">
        <v>17</v>
      </c>
      <c r="AK44" s="20" t="s">
        <v>20</v>
      </c>
      <c r="AL44" s="20" t="s">
        <v>23</v>
      </c>
      <c r="AM44" s="105" t="s">
        <v>15</v>
      </c>
      <c r="AN44" s="44"/>
      <c r="AO44" s="24"/>
      <c r="AP44" s="19">
        <f>COUNTIF(E44:AM44,"=국")</f>
        <v>5</v>
      </c>
      <c r="AQ44" s="19">
        <f>COUNTIF(E44:AM44,"=수")</f>
        <v>3</v>
      </c>
      <c r="AR44" s="19">
        <f>COUNTIF(E44:AM44,"=사")</f>
        <v>3</v>
      </c>
      <c r="AS44" s="19">
        <f>COUNTIF(E44:AM44,"=과")</f>
        <v>2</v>
      </c>
      <c r="AT44" s="19">
        <f>COUNTIF(D44:AL44,"=실")</f>
        <v>2</v>
      </c>
      <c r="AU44" s="19">
        <f>COUNTIF(E44:AM44,"=체")</f>
        <v>2</v>
      </c>
      <c r="AV44" s="19">
        <f>COUNTIF(E44:AM44,"=음")</f>
        <v>1</v>
      </c>
      <c r="AW44" s="19">
        <f>COUNTIF(E44:AM44,"=미")</f>
        <v>2</v>
      </c>
      <c r="AX44" s="19">
        <f>COUNTIF(E44:AM44,"=자")</f>
        <v>4</v>
      </c>
      <c r="AY44" s="19">
        <f>COUNTIF(E44:AM44,"=동")</f>
        <v>1</v>
      </c>
      <c r="AZ44" s="19">
        <f>COUNTIF(E44:AM44,"=진")</f>
        <v>0</v>
      </c>
      <c r="BA44" s="19">
        <f>COUNTIF(E44:AM44,"=의")</f>
        <v>2</v>
      </c>
      <c r="BB44" s="19">
        <f>COUNTIF(E44:AM44,"=선")</f>
        <v>2</v>
      </c>
      <c r="BC44" s="15">
        <f>SUM(AP44:BB44)</f>
        <v>29</v>
      </c>
      <c r="BD44" s="12"/>
      <c r="BE44" s="12"/>
      <c r="BF44" s="12"/>
      <c r="BG44" s="12"/>
      <c r="BH44" s="12"/>
    </row>
    <row r="45" spans="1:60" ht="28.5" customHeight="1">
      <c r="A45" s="140">
        <v>12</v>
      </c>
      <c r="B45" s="20">
        <v>37</v>
      </c>
      <c r="C45" s="13" t="s">
        <v>78</v>
      </c>
      <c r="D45" s="56">
        <v>5</v>
      </c>
      <c r="E45" s="104" t="s">
        <v>15</v>
      </c>
      <c r="F45" s="20" t="s">
        <v>23</v>
      </c>
      <c r="G45" s="20" t="s">
        <v>16</v>
      </c>
      <c r="H45" s="20" t="s">
        <v>22</v>
      </c>
      <c r="I45" s="20" t="s">
        <v>22</v>
      </c>
      <c r="J45" s="102" t="s">
        <v>111</v>
      </c>
      <c r="K45" s="103" t="s">
        <v>111</v>
      </c>
      <c r="L45" s="104" t="s">
        <v>26</v>
      </c>
      <c r="M45" s="20" t="s">
        <v>20</v>
      </c>
      <c r="N45" s="20" t="s">
        <v>17</v>
      </c>
      <c r="O45" s="20" t="s">
        <v>16</v>
      </c>
      <c r="P45" s="20" t="s">
        <v>19</v>
      </c>
      <c r="Q45" s="20" t="s">
        <v>19</v>
      </c>
      <c r="R45" s="105" t="s">
        <v>15</v>
      </c>
      <c r="S45" s="104" t="s">
        <v>16</v>
      </c>
      <c r="T45" s="20" t="s">
        <v>15</v>
      </c>
      <c r="U45" s="20" t="s">
        <v>17</v>
      </c>
      <c r="V45" s="69" t="s">
        <v>26</v>
      </c>
      <c r="W45" s="69" t="s">
        <v>27</v>
      </c>
      <c r="X45" s="96" t="s">
        <v>111</v>
      </c>
      <c r="Y45" s="97" t="s">
        <v>111</v>
      </c>
      <c r="Z45" s="104" t="s">
        <v>24</v>
      </c>
      <c r="AA45" s="69" t="s">
        <v>21</v>
      </c>
      <c r="AB45" s="69" t="s">
        <v>15</v>
      </c>
      <c r="AC45" s="69" t="s">
        <v>27</v>
      </c>
      <c r="AD45" s="69" t="s">
        <v>23</v>
      </c>
      <c r="AE45" s="102" t="s">
        <v>111</v>
      </c>
      <c r="AF45" s="103" t="s">
        <v>111</v>
      </c>
      <c r="AG45" s="104" t="s">
        <v>18</v>
      </c>
      <c r="AH45" s="20" t="s">
        <v>18</v>
      </c>
      <c r="AI45" s="20" t="s">
        <v>23</v>
      </c>
      <c r="AJ45" s="20" t="s">
        <v>17</v>
      </c>
      <c r="AK45" s="20" t="s">
        <v>20</v>
      </c>
      <c r="AL45" s="20" t="s">
        <v>23</v>
      </c>
      <c r="AM45" s="105" t="s">
        <v>15</v>
      </c>
      <c r="AN45" s="44"/>
      <c r="AO45" s="24"/>
      <c r="AP45" s="19">
        <f>COUNTIF(E45:AM45,"=국")</f>
        <v>5</v>
      </c>
      <c r="AQ45" s="19">
        <f>COUNTIF(E45:AM45,"=수")</f>
        <v>3</v>
      </c>
      <c r="AR45" s="19">
        <f>COUNTIF(E45:AM45,"=사")</f>
        <v>3</v>
      </c>
      <c r="AS45" s="19">
        <f>COUNTIF(E45:AM45,"=과")</f>
        <v>2</v>
      </c>
      <c r="AT45" s="19">
        <f>COUNTIF(D45:AL45,"=실")</f>
        <v>2</v>
      </c>
      <c r="AU45" s="19">
        <f>COUNTIF(E45:AM45,"=체")</f>
        <v>2</v>
      </c>
      <c r="AV45" s="19">
        <f>COUNTIF(E45:AM45,"=음")</f>
        <v>1</v>
      </c>
      <c r="AW45" s="19">
        <f>COUNTIF(E45:AM45,"=미")</f>
        <v>2</v>
      </c>
      <c r="AX45" s="19">
        <f>COUNTIF(E45:AM45,"=자")</f>
        <v>4</v>
      </c>
      <c r="AY45" s="19">
        <f>COUNTIF(E45:AM45,"=동")</f>
        <v>1</v>
      </c>
      <c r="AZ45" s="19">
        <f>COUNTIF(E45:AM45,"=진")</f>
        <v>0</v>
      </c>
      <c r="BA45" s="19">
        <f>COUNTIF(E45:AM45,"=의")</f>
        <v>2</v>
      </c>
      <c r="BB45" s="19">
        <f>COUNTIF(E45:AM45,"=선")</f>
        <v>2</v>
      </c>
      <c r="BC45" s="15">
        <f>SUM(AP45:BB45)</f>
        <v>29</v>
      </c>
      <c r="BD45" s="12"/>
      <c r="BE45" s="12"/>
      <c r="BF45" s="12"/>
      <c r="BG45" s="12"/>
      <c r="BH45" s="12"/>
    </row>
    <row r="46" spans="1:60" ht="28.5" customHeight="1">
      <c r="A46" s="129"/>
      <c r="B46" s="20">
        <v>38</v>
      </c>
      <c r="C46" s="13" t="s">
        <v>79</v>
      </c>
      <c r="D46" s="56">
        <v>5</v>
      </c>
      <c r="E46" s="104" t="s">
        <v>15</v>
      </c>
      <c r="F46" s="20" t="s">
        <v>23</v>
      </c>
      <c r="G46" s="20" t="s">
        <v>16</v>
      </c>
      <c r="H46" s="20" t="s">
        <v>22</v>
      </c>
      <c r="I46" s="20" t="s">
        <v>22</v>
      </c>
      <c r="J46" s="102" t="s">
        <v>111</v>
      </c>
      <c r="K46" s="103" t="s">
        <v>111</v>
      </c>
      <c r="L46" s="104" t="s">
        <v>26</v>
      </c>
      <c r="M46" s="20" t="s">
        <v>20</v>
      </c>
      <c r="N46" s="20" t="s">
        <v>17</v>
      </c>
      <c r="O46" s="20" t="s">
        <v>16</v>
      </c>
      <c r="P46" s="95" t="s">
        <v>23</v>
      </c>
      <c r="Q46" s="20" t="s">
        <v>19</v>
      </c>
      <c r="R46" s="105" t="s">
        <v>15</v>
      </c>
      <c r="S46" s="104" t="s">
        <v>16</v>
      </c>
      <c r="T46" s="20" t="s">
        <v>15</v>
      </c>
      <c r="U46" s="20" t="s">
        <v>17</v>
      </c>
      <c r="V46" s="69" t="s">
        <v>26</v>
      </c>
      <c r="W46" s="69" t="s">
        <v>27</v>
      </c>
      <c r="X46" s="96" t="s">
        <v>111</v>
      </c>
      <c r="Y46" s="97" t="s">
        <v>111</v>
      </c>
      <c r="Z46" s="104" t="s">
        <v>24</v>
      </c>
      <c r="AA46" s="69" t="s">
        <v>21</v>
      </c>
      <c r="AB46" s="69" t="s">
        <v>15</v>
      </c>
      <c r="AC46" s="69" t="s">
        <v>27</v>
      </c>
      <c r="AD46" s="69" t="s">
        <v>23</v>
      </c>
      <c r="AE46" s="102" t="s">
        <v>111</v>
      </c>
      <c r="AF46" s="103" t="s">
        <v>111</v>
      </c>
      <c r="AG46" s="104" t="s">
        <v>18</v>
      </c>
      <c r="AH46" s="20" t="s">
        <v>18</v>
      </c>
      <c r="AI46" s="20" t="s">
        <v>23</v>
      </c>
      <c r="AJ46" s="20" t="s">
        <v>17</v>
      </c>
      <c r="AK46" s="20" t="s">
        <v>20</v>
      </c>
      <c r="AL46" s="20" t="s">
        <v>23</v>
      </c>
      <c r="AM46" s="105" t="s">
        <v>15</v>
      </c>
      <c r="AN46" s="44"/>
      <c r="AO46" s="24"/>
      <c r="AP46" s="19">
        <f>COUNTIF(E46:AM46,"=국")</f>
        <v>5</v>
      </c>
      <c r="AQ46" s="19">
        <f>COUNTIF(E46:AM46,"=수")</f>
        <v>3</v>
      </c>
      <c r="AR46" s="19">
        <f>COUNTIF(E46:AM46,"=사")</f>
        <v>3</v>
      </c>
      <c r="AS46" s="19">
        <f>COUNTIF(E46:AM46,"=과")</f>
        <v>2</v>
      </c>
      <c r="AT46" s="19">
        <f>COUNTIF(D46:AL46,"=실")</f>
        <v>1</v>
      </c>
      <c r="AU46" s="19">
        <f>COUNTIF(E46:AM46,"=체")</f>
        <v>2</v>
      </c>
      <c r="AV46" s="19">
        <f>COUNTIF(E46:AM46,"=음")</f>
        <v>1</v>
      </c>
      <c r="AW46" s="19">
        <f>COUNTIF(E46:AM46,"=미")</f>
        <v>2</v>
      </c>
      <c r="AX46" s="19">
        <f>COUNTIF(E46:AM46,"=자")</f>
        <v>5</v>
      </c>
      <c r="AY46" s="19">
        <f>COUNTIF(E46:AM46,"=동")</f>
        <v>1</v>
      </c>
      <c r="AZ46" s="19">
        <f>COUNTIF(E46:AM46,"=진")</f>
        <v>0</v>
      </c>
      <c r="BA46" s="19">
        <f>COUNTIF(E46:AM46,"=의")</f>
        <v>2</v>
      </c>
      <c r="BB46" s="19">
        <f>COUNTIF(E46:AM46,"=선")</f>
        <v>2</v>
      </c>
      <c r="BC46" s="15">
        <f>SUM(AP46:BB46)</f>
        <v>29</v>
      </c>
      <c r="BD46" s="12"/>
      <c r="BE46" s="12"/>
      <c r="BF46" s="12"/>
      <c r="BG46" s="12"/>
      <c r="BH46" s="12"/>
    </row>
    <row r="47" spans="1:60" ht="28.5" customHeight="1">
      <c r="A47" s="129"/>
      <c r="B47" s="20">
        <v>39</v>
      </c>
      <c r="C47" s="13" t="s">
        <v>80</v>
      </c>
      <c r="D47" s="56">
        <v>5</v>
      </c>
      <c r="E47" s="104" t="s">
        <v>15</v>
      </c>
      <c r="F47" s="20" t="s">
        <v>23</v>
      </c>
      <c r="G47" s="20" t="s">
        <v>16</v>
      </c>
      <c r="H47" s="20" t="s">
        <v>22</v>
      </c>
      <c r="I47" s="20" t="s">
        <v>22</v>
      </c>
      <c r="J47" s="102" t="s">
        <v>111</v>
      </c>
      <c r="K47" s="103" t="s">
        <v>111</v>
      </c>
      <c r="L47" s="104" t="s">
        <v>26</v>
      </c>
      <c r="M47" s="20" t="s">
        <v>20</v>
      </c>
      <c r="N47" s="20" t="s">
        <v>17</v>
      </c>
      <c r="O47" s="20" t="s">
        <v>16</v>
      </c>
      <c r="P47" s="95" t="s">
        <v>23</v>
      </c>
      <c r="Q47" s="20" t="s">
        <v>19</v>
      </c>
      <c r="R47" s="105" t="s">
        <v>15</v>
      </c>
      <c r="S47" s="104" t="s">
        <v>16</v>
      </c>
      <c r="T47" s="20" t="s">
        <v>15</v>
      </c>
      <c r="U47" s="20" t="s">
        <v>17</v>
      </c>
      <c r="V47" s="69" t="s">
        <v>26</v>
      </c>
      <c r="W47" s="69" t="s">
        <v>27</v>
      </c>
      <c r="X47" s="96" t="s">
        <v>111</v>
      </c>
      <c r="Y47" s="97" t="s">
        <v>111</v>
      </c>
      <c r="Z47" s="104" t="s">
        <v>24</v>
      </c>
      <c r="AA47" s="69" t="s">
        <v>21</v>
      </c>
      <c r="AB47" s="69" t="s">
        <v>15</v>
      </c>
      <c r="AC47" s="69" t="s">
        <v>27</v>
      </c>
      <c r="AD47" s="69" t="s">
        <v>23</v>
      </c>
      <c r="AE47" s="102" t="s">
        <v>111</v>
      </c>
      <c r="AF47" s="103" t="s">
        <v>111</v>
      </c>
      <c r="AG47" s="104" t="s">
        <v>18</v>
      </c>
      <c r="AH47" s="20" t="s">
        <v>18</v>
      </c>
      <c r="AI47" s="20" t="s">
        <v>23</v>
      </c>
      <c r="AJ47" s="20" t="s">
        <v>17</v>
      </c>
      <c r="AK47" s="20" t="s">
        <v>20</v>
      </c>
      <c r="AL47" s="20" t="s">
        <v>23</v>
      </c>
      <c r="AM47" s="105" t="s">
        <v>15</v>
      </c>
      <c r="AN47" s="44"/>
      <c r="AO47" s="24"/>
      <c r="AP47" s="19">
        <f>COUNTIF(E47:AM47,"=국")</f>
        <v>5</v>
      </c>
      <c r="AQ47" s="19">
        <f>COUNTIF(E47:AM47,"=수")</f>
        <v>3</v>
      </c>
      <c r="AR47" s="19">
        <f>COUNTIF(E47:AM47,"=사")</f>
        <v>3</v>
      </c>
      <c r="AS47" s="19">
        <f>COUNTIF(E47:AM47,"=과")</f>
        <v>2</v>
      </c>
      <c r="AT47" s="19">
        <f>COUNTIF(D47:AL47,"=실")</f>
        <v>1</v>
      </c>
      <c r="AU47" s="19">
        <f>COUNTIF(E47:AM47,"=체")</f>
        <v>2</v>
      </c>
      <c r="AV47" s="19">
        <f>COUNTIF(E47:AM47,"=음")</f>
        <v>1</v>
      </c>
      <c r="AW47" s="19">
        <f>COUNTIF(E47:AM47,"=미")</f>
        <v>2</v>
      </c>
      <c r="AX47" s="19">
        <f>COUNTIF(E47:AM47,"=자")</f>
        <v>5</v>
      </c>
      <c r="AY47" s="19">
        <f>COUNTIF(E47:AM47,"=동")</f>
        <v>1</v>
      </c>
      <c r="AZ47" s="19">
        <f>COUNTIF(E47:AM47,"=진")</f>
        <v>0</v>
      </c>
      <c r="BA47" s="19">
        <f>COUNTIF(E47:AM47,"=의")</f>
        <v>2</v>
      </c>
      <c r="BB47" s="19">
        <f>COUNTIF(E47:AM47,"=선")</f>
        <v>2</v>
      </c>
      <c r="BC47" s="15">
        <f>SUM(AP47:BB47)</f>
        <v>29</v>
      </c>
      <c r="BD47" s="12"/>
      <c r="BE47" s="12"/>
      <c r="BF47" s="12"/>
      <c r="BG47" s="12"/>
      <c r="BH47" s="12"/>
    </row>
    <row r="48" spans="1:60" ht="28.5" customHeight="1">
      <c r="A48" s="129"/>
      <c r="B48" s="20">
        <v>40</v>
      </c>
      <c r="C48" s="13" t="s">
        <v>81</v>
      </c>
      <c r="D48" s="56">
        <v>4</v>
      </c>
      <c r="E48" s="104" t="s">
        <v>15</v>
      </c>
      <c r="F48" s="20" t="s">
        <v>23</v>
      </c>
      <c r="G48" s="20" t="s">
        <v>16</v>
      </c>
      <c r="H48" s="20" t="s">
        <v>22</v>
      </c>
      <c r="I48" s="20" t="s">
        <v>22</v>
      </c>
      <c r="J48" s="102" t="s">
        <v>111</v>
      </c>
      <c r="K48" s="103" t="s">
        <v>111</v>
      </c>
      <c r="L48" s="104" t="s">
        <v>26</v>
      </c>
      <c r="M48" s="20" t="s">
        <v>20</v>
      </c>
      <c r="N48" s="20" t="s">
        <v>17</v>
      </c>
      <c r="O48" s="20" t="s">
        <v>16</v>
      </c>
      <c r="P48" s="95" t="s">
        <v>23</v>
      </c>
      <c r="Q48" s="20" t="s">
        <v>19</v>
      </c>
      <c r="R48" s="105" t="s">
        <v>15</v>
      </c>
      <c r="S48" s="104" t="s">
        <v>16</v>
      </c>
      <c r="T48" s="20" t="s">
        <v>15</v>
      </c>
      <c r="U48" s="20" t="s">
        <v>17</v>
      </c>
      <c r="V48" s="69" t="s">
        <v>26</v>
      </c>
      <c r="W48" s="69" t="s">
        <v>27</v>
      </c>
      <c r="X48" s="96" t="s">
        <v>111</v>
      </c>
      <c r="Y48" s="97" t="s">
        <v>111</v>
      </c>
      <c r="Z48" s="104" t="s">
        <v>24</v>
      </c>
      <c r="AA48" s="69" t="s">
        <v>21</v>
      </c>
      <c r="AB48" s="69" t="s">
        <v>15</v>
      </c>
      <c r="AC48" s="69" t="s">
        <v>27</v>
      </c>
      <c r="AD48" s="69" t="s">
        <v>23</v>
      </c>
      <c r="AE48" s="102" t="s">
        <v>111</v>
      </c>
      <c r="AF48" s="103" t="s">
        <v>111</v>
      </c>
      <c r="AG48" s="174" t="s">
        <v>82</v>
      </c>
      <c r="AH48" s="173"/>
      <c r="AI48" s="173"/>
      <c r="AJ48" s="173"/>
      <c r="AK48" s="173"/>
      <c r="AL48" s="173"/>
      <c r="AM48" s="173"/>
      <c r="AN48" s="44"/>
      <c r="AO48" s="24"/>
      <c r="AP48" s="19">
        <f>COUNTIF(E48:AM48,"=국")</f>
        <v>4</v>
      </c>
      <c r="AQ48" s="19">
        <f>COUNTIF(E48:AM48,"=수")</f>
        <v>3</v>
      </c>
      <c r="AR48" s="19">
        <f>COUNTIF(E48:AM48,"=사")</f>
        <v>2</v>
      </c>
      <c r="AS48" s="19">
        <f>COUNTIF(E48:AM48,"=과")</f>
        <v>0</v>
      </c>
      <c r="AT48" s="19">
        <f>COUNTIF(D48:AL48,"=실")</f>
        <v>1</v>
      </c>
      <c r="AU48" s="19">
        <f>COUNTIF(E48:AM48,"=체")</f>
        <v>1</v>
      </c>
      <c r="AV48" s="19">
        <f>COUNTIF(E48:AM48,"=음")</f>
        <v>1</v>
      </c>
      <c r="AW48" s="19">
        <f>COUNTIF(E48:AM48,"=미")</f>
        <v>2</v>
      </c>
      <c r="AX48" s="19">
        <f>COUNTIF(E48:AM48,"=자")</f>
        <v>3</v>
      </c>
      <c r="AY48" s="19">
        <f>COUNTIF(E48:AM48,"=동")</f>
        <v>1</v>
      </c>
      <c r="AZ48" s="19">
        <f>COUNTIF(E48:AM48,"=진")</f>
        <v>0</v>
      </c>
      <c r="BA48" s="19">
        <f>COUNTIF(E48:AM48,"=의")</f>
        <v>2</v>
      </c>
      <c r="BB48" s="19">
        <f>COUNTIF(E48:AM48,"=선")</f>
        <v>2</v>
      </c>
      <c r="BC48" s="15">
        <f>SUM(AP48:BB48)</f>
        <v>22</v>
      </c>
      <c r="BD48" s="12"/>
      <c r="BE48" s="12"/>
      <c r="BF48" s="12"/>
      <c r="BG48" s="12"/>
      <c r="BH48" s="12"/>
    </row>
    <row r="49" spans="1:68" ht="28.5" customHeight="1">
      <c r="A49" s="143"/>
      <c r="B49" s="55">
        <v>41</v>
      </c>
      <c r="C49" s="30" t="s">
        <v>83</v>
      </c>
      <c r="D49" s="59">
        <v>4</v>
      </c>
      <c r="E49" s="104" t="s">
        <v>15</v>
      </c>
      <c r="F49" s="20" t="s">
        <v>23</v>
      </c>
      <c r="G49" s="20" t="s">
        <v>16</v>
      </c>
      <c r="H49" s="20" t="s">
        <v>22</v>
      </c>
      <c r="I49" s="20" t="s">
        <v>22</v>
      </c>
      <c r="J49" s="102" t="s">
        <v>111</v>
      </c>
      <c r="K49" s="103" t="s">
        <v>111</v>
      </c>
      <c r="L49" s="104" t="s">
        <v>26</v>
      </c>
      <c r="M49" s="20" t="s">
        <v>20</v>
      </c>
      <c r="N49" s="20" t="s">
        <v>17</v>
      </c>
      <c r="O49" s="20" t="s">
        <v>16</v>
      </c>
      <c r="P49" s="95" t="s">
        <v>23</v>
      </c>
      <c r="Q49" s="20" t="s">
        <v>19</v>
      </c>
      <c r="R49" s="105" t="s">
        <v>15</v>
      </c>
      <c r="S49" s="104" t="s">
        <v>16</v>
      </c>
      <c r="T49" s="20" t="s">
        <v>15</v>
      </c>
      <c r="U49" s="20" t="s">
        <v>17</v>
      </c>
      <c r="V49" s="20" t="s">
        <v>26</v>
      </c>
      <c r="W49" s="20" t="s">
        <v>27</v>
      </c>
      <c r="X49" s="102" t="s">
        <v>111</v>
      </c>
      <c r="Y49" s="103" t="s">
        <v>111</v>
      </c>
      <c r="Z49" s="104" t="s">
        <v>24</v>
      </c>
      <c r="AA49" s="20" t="s">
        <v>21</v>
      </c>
      <c r="AB49" s="20" t="s">
        <v>15</v>
      </c>
      <c r="AC49" s="20" t="s">
        <v>27</v>
      </c>
      <c r="AD49" s="113" t="s">
        <v>84</v>
      </c>
      <c r="AE49" s="109" t="s">
        <v>111</v>
      </c>
      <c r="AF49" s="110" t="s">
        <v>111</v>
      </c>
      <c r="AG49" s="114" t="s">
        <v>111</v>
      </c>
      <c r="AH49" s="109" t="s">
        <v>111</v>
      </c>
      <c r="AI49" s="109" t="s">
        <v>111</v>
      </c>
      <c r="AJ49" s="109" t="s">
        <v>111</v>
      </c>
      <c r="AK49" s="109" t="s">
        <v>111</v>
      </c>
      <c r="AL49" s="109" t="s">
        <v>111</v>
      </c>
      <c r="AM49" s="110" t="s">
        <v>111</v>
      </c>
      <c r="AN49" s="66"/>
      <c r="AO49" s="24"/>
      <c r="AP49" s="19">
        <f>COUNTIF(E49:AM49,"=국")</f>
        <v>4</v>
      </c>
      <c r="AQ49" s="19">
        <f>COUNTIF(E49:AM49,"=수")</f>
        <v>3</v>
      </c>
      <c r="AR49" s="19">
        <f>COUNTIF(E49:AM49,"=사")</f>
        <v>2</v>
      </c>
      <c r="AS49" s="19">
        <f>COUNTIF(E49:AM49,"=과")</f>
        <v>0</v>
      </c>
      <c r="AT49" s="19">
        <f>COUNTIF(D49:AL49,"=실")</f>
        <v>1</v>
      </c>
      <c r="AU49" s="19">
        <f>COUNTIF(E49:AM49,"=체")</f>
        <v>1</v>
      </c>
      <c r="AV49" s="19">
        <f>COUNTIF(E49:AM49,"=음")</f>
        <v>1</v>
      </c>
      <c r="AW49" s="19">
        <f>COUNTIF(E49:AM49,"=미")</f>
        <v>2</v>
      </c>
      <c r="AX49" s="19">
        <f>COUNTIF(E49:AM49,"=자")</f>
        <v>2</v>
      </c>
      <c r="AY49" s="19">
        <f>COUNTIF(E49:AM49,"=동")</f>
        <v>1</v>
      </c>
      <c r="AZ49" s="19">
        <f>COUNTIF(E49:AM49,"=진")</f>
        <v>0</v>
      </c>
      <c r="BA49" s="19">
        <f>COUNTIF(E49:AM49,"=의")</f>
        <v>2</v>
      </c>
      <c r="BB49" s="19">
        <f>COUNTIF(E49:AM49,"=선")</f>
        <v>2</v>
      </c>
      <c r="BC49" s="15">
        <f>SUM(AP49:BB49)</f>
        <v>21</v>
      </c>
      <c r="BD49" s="12"/>
      <c r="BE49" s="12"/>
      <c r="BF49" s="12"/>
      <c r="BG49" s="12"/>
      <c r="BH49" s="12"/>
    </row>
    <row r="50" spans="1:68" ht="28.5" customHeight="1">
      <c r="A50" s="145" t="s">
        <v>85</v>
      </c>
      <c r="B50" s="176"/>
      <c r="C50" s="194"/>
      <c r="D50" s="67">
        <f>SUM(D30:D49)</f>
        <v>92</v>
      </c>
      <c r="E50" s="145">
        <v>18</v>
      </c>
      <c r="F50" s="176"/>
      <c r="G50" s="176"/>
      <c r="H50" s="176"/>
      <c r="I50" s="176"/>
      <c r="J50" s="176"/>
      <c r="K50" s="177"/>
      <c r="L50" s="145">
        <v>20</v>
      </c>
      <c r="M50" s="176"/>
      <c r="N50" s="176"/>
      <c r="O50" s="176"/>
      <c r="P50" s="176"/>
      <c r="Q50" s="176"/>
      <c r="R50" s="177"/>
      <c r="S50" s="145">
        <v>19</v>
      </c>
      <c r="T50" s="176"/>
      <c r="U50" s="176"/>
      <c r="V50" s="176"/>
      <c r="W50" s="176"/>
      <c r="X50" s="176"/>
      <c r="Y50" s="177"/>
      <c r="Z50" s="145">
        <v>19</v>
      </c>
      <c r="AA50" s="176"/>
      <c r="AB50" s="176"/>
      <c r="AC50" s="176"/>
      <c r="AD50" s="176"/>
      <c r="AE50" s="176"/>
      <c r="AF50" s="177"/>
      <c r="AG50" s="145">
        <v>16</v>
      </c>
      <c r="AH50" s="176"/>
      <c r="AI50" s="176"/>
      <c r="AJ50" s="176"/>
      <c r="AK50" s="176"/>
      <c r="AL50" s="176"/>
      <c r="AM50" s="177"/>
      <c r="AN50" s="68">
        <f>SUM(E50:AM50)</f>
        <v>92</v>
      </c>
      <c r="AO50" s="21"/>
      <c r="AP50" s="19">
        <f>COUNTIF(E50:AM50,"=국")</f>
        <v>0</v>
      </c>
      <c r="AQ50" s="19">
        <f>COUNTIF(E50:AM50,"=수")</f>
        <v>0</v>
      </c>
      <c r="AR50" s="19">
        <f>COUNTIF(E50:AM50,"=사")</f>
        <v>0</v>
      </c>
      <c r="AS50" s="19">
        <f>COUNTIF(E50:AM50,"=과")</f>
        <v>0</v>
      </c>
      <c r="AT50" s="19">
        <f>COUNTIF(D50:AL50,"=실")</f>
        <v>0</v>
      </c>
      <c r="AU50" s="19">
        <f>COUNTIF(E50:AM50,"=체")</f>
        <v>0</v>
      </c>
      <c r="AV50" s="19">
        <f>COUNTIF(E50:AM50,"=음")</f>
        <v>0</v>
      </c>
      <c r="AW50" s="19">
        <f>COUNTIF(E50:AM50,"=미")</f>
        <v>0</v>
      </c>
      <c r="AX50" s="19">
        <f>COUNTIF(E50:AM50,"=자")</f>
        <v>0</v>
      </c>
      <c r="AY50" s="19">
        <f>COUNTIF(E50:AM50,"=동")</f>
        <v>0</v>
      </c>
      <c r="AZ50" s="19">
        <f>COUNTIF(E50:AM50,"=진")</f>
        <v>0</v>
      </c>
      <c r="BA50" s="19">
        <f>COUNTIF(E50:AM50,"=의")</f>
        <v>0</v>
      </c>
      <c r="BB50" s="19">
        <f>COUNTIF(E50:AM50,"=선")</f>
        <v>0</v>
      </c>
      <c r="BC50" s="15">
        <f>SUM(AP50:BB50)</f>
        <v>0</v>
      </c>
      <c r="BD50" s="12"/>
      <c r="BE50" s="12"/>
      <c r="BF50" s="12"/>
      <c r="BG50" s="12"/>
      <c r="BH50" s="12"/>
    </row>
    <row r="51" spans="1:68" ht="28.5" customHeight="1">
      <c r="A51" s="146" t="s">
        <v>86</v>
      </c>
      <c r="B51" s="192"/>
      <c r="C51" s="195"/>
      <c r="D51" s="147">
        <f>D26+D50</f>
        <v>190</v>
      </c>
      <c r="E51" s="148">
        <f>E26+E50</f>
        <v>36</v>
      </c>
      <c r="F51" s="187"/>
      <c r="G51" s="187"/>
      <c r="H51" s="187"/>
      <c r="I51" s="187"/>
      <c r="J51" s="187"/>
      <c r="K51" s="188"/>
      <c r="L51" s="148">
        <f>L26+L50</f>
        <v>40</v>
      </c>
      <c r="M51" s="187"/>
      <c r="N51" s="187"/>
      <c r="O51" s="187"/>
      <c r="P51" s="187"/>
      <c r="Q51" s="187"/>
      <c r="R51" s="188"/>
      <c r="S51" s="148">
        <f>S26+S50</f>
        <v>39</v>
      </c>
      <c r="T51" s="187"/>
      <c r="U51" s="187"/>
      <c r="V51" s="187"/>
      <c r="W51" s="187"/>
      <c r="X51" s="187"/>
      <c r="Y51" s="188"/>
      <c r="Z51" s="148">
        <f>Z26+Z50</f>
        <v>40</v>
      </c>
      <c r="AA51" s="187"/>
      <c r="AB51" s="187"/>
      <c r="AC51" s="187"/>
      <c r="AD51" s="187"/>
      <c r="AE51" s="187"/>
      <c r="AF51" s="188"/>
      <c r="AG51" s="148">
        <f>AG26+AG50</f>
        <v>35</v>
      </c>
      <c r="AH51" s="187"/>
      <c r="AI51" s="187"/>
      <c r="AJ51" s="187"/>
      <c r="AK51" s="187"/>
      <c r="AL51" s="187"/>
      <c r="AM51" s="188"/>
      <c r="AN51" s="57">
        <f>SUM(E51:AM51)</f>
        <v>190</v>
      </c>
      <c r="AO51" s="21"/>
      <c r="AP51" s="15">
        <f>SUM(AP30:AP50)</f>
        <v>85</v>
      </c>
      <c r="AQ51" s="15">
        <f>SUM(AQ30:AQ50)</f>
        <v>51</v>
      </c>
      <c r="AR51" s="15">
        <f>SUM(AR30:AR50)</f>
        <v>51</v>
      </c>
      <c r="AS51" s="15">
        <f>SUM(AS30:AS50)</f>
        <v>32</v>
      </c>
      <c r="AT51" s="15">
        <f>SUM(AT30:AT50)</f>
        <v>34</v>
      </c>
      <c r="AU51" s="15">
        <f>SUM(AU30:AU50)</f>
        <v>41</v>
      </c>
      <c r="AV51" s="15">
        <f>SUM(AV30:AV50)</f>
        <v>29</v>
      </c>
      <c r="AW51" s="15">
        <f>SUM(AW30:AW50)</f>
        <v>29</v>
      </c>
      <c r="AX51" s="15">
        <f>SUM(AX30:AX50)</f>
        <v>74</v>
      </c>
      <c r="AY51" s="15">
        <f>SUM(AY30:AY50)</f>
        <v>15</v>
      </c>
      <c r="AZ51" s="15">
        <f>SUM(AZ30:AZ50)</f>
        <v>4</v>
      </c>
      <c r="BA51" s="15">
        <f>SUM(BA30:BA50)</f>
        <v>42</v>
      </c>
      <c r="BB51" s="15">
        <f>SUM(BB30:BB50)</f>
        <v>41</v>
      </c>
      <c r="BC51" s="15">
        <f>SUM(AP51:BB51)</f>
        <v>528</v>
      </c>
      <c r="BD51" s="12"/>
      <c r="BE51" s="12"/>
      <c r="BF51" s="12"/>
      <c r="BG51" s="12"/>
      <c r="BH51" s="12"/>
    </row>
    <row r="52" spans="1:68" ht="28.5" customHeight="1">
      <c r="A52" s="196"/>
      <c r="B52" s="197"/>
      <c r="C52" s="198"/>
      <c r="D52" s="181"/>
      <c r="E52" s="149">
        <f>E51*5</f>
        <v>180</v>
      </c>
      <c r="F52" s="199"/>
      <c r="G52" s="199"/>
      <c r="H52" s="199"/>
      <c r="I52" s="199"/>
      <c r="J52" s="199"/>
      <c r="K52" s="200"/>
      <c r="L52" s="149">
        <f>L51*7-7</f>
        <v>273</v>
      </c>
      <c r="M52" s="199"/>
      <c r="N52" s="199"/>
      <c r="O52" s="199"/>
      <c r="P52" s="199"/>
      <c r="Q52" s="199"/>
      <c r="R52" s="200"/>
      <c r="S52" s="149">
        <f>S51*5</f>
        <v>195</v>
      </c>
      <c r="T52" s="199"/>
      <c r="U52" s="199"/>
      <c r="V52" s="199"/>
      <c r="W52" s="199"/>
      <c r="X52" s="199"/>
      <c r="Y52" s="200"/>
      <c r="Z52" s="149">
        <f>Z51*5-1</f>
        <v>199</v>
      </c>
      <c r="AA52" s="199"/>
      <c r="AB52" s="199"/>
      <c r="AC52" s="199"/>
      <c r="AD52" s="199"/>
      <c r="AE52" s="199"/>
      <c r="AF52" s="200"/>
      <c r="AG52" s="149">
        <f>AG51*7-3</f>
        <v>242</v>
      </c>
      <c r="AH52" s="199"/>
      <c r="AI52" s="199"/>
      <c r="AJ52" s="199"/>
      <c r="AK52" s="199"/>
      <c r="AL52" s="199"/>
      <c r="AM52" s="200"/>
      <c r="AN52" s="58">
        <f>SUM(E52:AM52)</f>
        <v>1089</v>
      </c>
      <c r="AO52" s="21"/>
      <c r="AP52" s="25">
        <f>SUM(AP26+AP51)</f>
        <v>170</v>
      </c>
      <c r="AQ52" s="25">
        <f>SUM(AQ26+AQ51)</f>
        <v>103</v>
      </c>
      <c r="AR52" s="25">
        <f>SUM(AR26+AR51)</f>
        <v>102</v>
      </c>
      <c r="AS52" s="25">
        <f>SUM(AS26+AS51)</f>
        <v>68</v>
      </c>
      <c r="AT52" s="25">
        <f>SUM(AT26+AT51)</f>
        <v>68</v>
      </c>
      <c r="AU52" s="25">
        <f>SUM(AU26+AU51)</f>
        <v>85</v>
      </c>
      <c r="AV52" s="25">
        <f>SUM(AV26+AV51)</f>
        <v>59</v>
      </c>
      <c r="AW52" s="25">
        <f>SUM(AW26+AW51)</f>
        <v>60</v>
      </c>
      <c r="AX52" s="25">
        <f>SUM(AX26+AX51)</f>
        <v>162</v>
      </c>
      <c r="AY52" s="25">
        <f>SUM(AY26+AY51)</f>
        <v>34</v>
      </c>
      <c r="AZ52" s="25">
        <f>SUM(AZ26+AZ51)</f>
        <v>8</v>
      </c>
      <c r="BA52" s="25">
        <f>SUM(BA26+BA51)</f>
        <v>85</v>
      </c>
      <c r="BB52" s="25">
        <f>SUM(BB26+BB51)</f>
        <v>85</v>
      </c>
      <c r="BC52" s="25">
        <f>SUM(BC26+BC51)</f>
        <v>1089</v>
      </c>
      <c r="BD52" s="12"/>
      <c r="BE52" s="12"/>
      <c r="BF52" s="12"/>
      <c r="BG52" s="12"/>
      <c r="BH52" s="12"/>
    </row>
    <row r="53" spans="1:68" ht="15.75" customHeight="1">
      <c r="A53" s="10"/>
      <c r="B53" s="10"/>
      <c r="C53" s="24"/>
      <c r="D53" s="10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  <c r="AJ53" s="24"/>
      <c r="AK53" s="24"/>
      <c r="AL53" s="24"/>
      <c r="AM53" s="24"/>
      <c r="AN53" s="24"/>
      <c r="AO53" s="24"/>
      <c r="AP53" s="24"/>
      <c r="AQ53" s="24"/>
      <c r="AR53" s="24"/>
      <c r="AS53" s="24"/>
      <c r="AT53" s="24"/>
      <c r="AU53" s="24"/>
      <c r="AV53" s="24"/>
      <c r="AW53" s="24"/>
      <c r="AX53" s="24"/>
      <c r="AY53" s="24"/>
      <c r="AZ53" s="24"/>
      <c r="BA53" s="12"/>
      <c r="BB53" s="12"/>
      <c r="BC53" s="12"/>
      <c r="BD53" s="12"/>
      <c r="BE53" s="12"/>
      <c r="BF53" s="12"/>
      <c r="BG53" s="12"/>
    </row>
    <row r="54" spans="1:68" ht="21" customHeight="1">
      <c r="A54" s="3"/>
      <c r="B54" s="3"/>
      <c r="C54" s="3"/>
      <c r="D54" s="151" t="s">
        <v>87</v>
      </c>
      <c r="E54" s="152" t="s">
        <v>88</v>
      </c>
      <c r="F54" s="201"/>
      <c r="G54" s="202"/>
      <c r="H54" s="152" t="s">
        <v>89</v>
      </c>
      <c r="I54" s="201"/>
      <c r="J54" s="202"/>
      <c r="K54" s="152" t="s">
        <v>90</v>
      </c>
      <c r="L54" s="201"/>
      <c r="M54" s="202"/>
      <c r="N54" s="152" t="s">
        <v>91</v>
      </c>
      <c r="O54" s="201"/>
      <c r="P54" s="202"/>
      <c r="Q54" s="152" t="s">
        <v>92</v>
      </c>
      <c r="R54" s="201"/>
      <c r="S54" s="202"/>
      <c r="T54" s="152" t="s">
        <v>93</v>
      </c>
      <c r="U54" s="201"/>
      <c r="V54" s="202"/>
      <c r="W54" s="152" t="s">
        <v>94</v>
      </c>
      <c r="X54" s="201"/>
      <c r="Y54" s="202"/>
      <c r="Z54" s="152" t="s">
        <v>95</v>
      </c>
      <c r="AA54" s="201"/>
      <c r="AB54" s="202"/>
      <c r="AC54" s="153" t="s">
        <v>96</v>
      </c>
      <c r="AD54" s="203"/>
      <c r="AE54" s="203"/>
      <c r="AF54" s="203"/>
      <c r="AG54" s="203"/>
      <c r="AH54" s="204"/>
      <c r="AI54" s="154" t="s">
        <v>97</v>
      </c>
      <c r="AJ54" s="203"/>
      <c r="AK54" s="203"/>
      <c r="AL54" s="204"/>
      <c r="AM54" s="155" t="s">
        <v>28</v>
      </c>
      <c r="AN54" s="220"/>
      <c r="AO54" s="156" t="s">
        <v>98</v>
      </c>
      <c r="AP54" s="205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</row>
    <row r="55" spans="1:68" ht="21" customHeight="1">
      <c r="A55" s="3"/>
      <c r="B55" s="3"/>
      <c r="C55" s="3"/>
      <c r="D55" s="206"/>
      <c r="E55" s="207"/>
      <c r="F55" s="208"/>
      <c r="G55" s="209"/>
      <c r="H55" s="207"/>
      <c r="I55" s="208"/>
      <c r="J55" s="209"/>
      <c r="K55" s="207"/>
      <c r="L55" s="208"/>
      <c r="M55" s="209"/>
      <c r="N55" s="207"/>
      <c r="O55" s="208"/>
      <c r="P55" s="209"/>
      <c r="Q55" s="207"/>
      <c r="R55" s="208"/>
      <c r="S55" s="209"/>
      <c r="T55" s="207"/>
      <c r="U55" s="208"/>
      <c r="V55" s="209"/>
      <c r="W55" s="207"/>
      <c r="X55" s="208"/>
      <c r="Y55" s="209"/>
      <c r="Z55" s="207"/>
      <c r="AA55" s="208"/>
      <c r="AB55" s="209"/>
      <c r="AC55" s="157" t="s">
        <v>99</v>
      </c>
      <c r="AD55" s="210"/>
      <c r="AE55" s="157" t="s">
        <v>100</v>
      </c>
      <c r="AF55" s="210"/>
      <c r="AG55" s="158" t="s">
        <v>101</v>
      </c>
      <c r="AH55" s="210"/>
      <c r="AI55" s="159" t="s">
        <v>102</v>
      </c>
      <c r="AJ55" s="210"/>
      <c r="AK55" s="158" t="s">
        <v>103</v>
      </c>
      <c r="AL55" s="211"/>
      <c r="AM55" s="207"/>
      <c r="AN55" s="221"/>
      <c r="AO55" s="212"/>
      <c r="AP55" s="21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</row>
    <row r="56" spans="1:68" ht="21" customHeight="1">
      <c r="A56" s="3"/>
      <c r="B56" s="3"/>
      <c r="C56" s="3"/>
      <c r="D56" s="39" t="s">
        <v>104</v>
      </c>
      <c r="E56" s="160">
        <v>170</v>
      </c>
      <c r="F56" s="214"/>
      <c r="G56" s="210"/>
      <c r="H56" s="160">
        <v>102</v>
      </c>
      <c r="I56" s="214"/>
      <c r="J56" s="210"/>
      <c r="K56" s="160">
        <v>102</v>
      </c>
      <c r="L56" s="214"/>
      <c r="M56" s="210"/>
      <c r="N56" s="160">
        <v>68</v>
      </c>
      <c r="O56" s="214"/>
      <c r="P56" s="210"/>
      <c r="Q56" s="160">
        <v>68</v>
      </c>
      <c r="R56" s="214"/>
      <c r="S56" s="210"/>
      <c r="T56" s="160">
        <v>85</v>
      </c>
      <c r="U56" s="214"/>
      <c r="V56" s="210"/>
      <c r="W56" s="160">
        <v>59</v>
      </c>
      <c r="X56" s="214"/>
      <c r="Y56" s="210"/>
      <c r="Z56" s="160">
        <v>60</v>
      </c>
      <c r="AA56" s="214"/>
      <c r="AB56" s="210"/>
      <c r="AC56" s="160">
        <v>162</v>
      </c>
      <c r="AD56" s="210"/>
      <c r="AE56" s="160">
        <v>34</v>
      </c>
      <c r="AF56" s="210"/>
      <c r="AG56" s="160">
        <v>8</v>
      </c>
      <c r="AH56" s="210"/>
      <c r="AI56" s="160">
        <v>85</v>
      </c>
      <c r="AJ56" s="210"/>
      <c r="AK56" s="160">
        <v>85</v>
      </c>
      <c r="AL56" s="210"/>
      <c r="AM56" s="160">
        <f>SUM(E56:AL56)</f>
        <v>1088</v>
      </c>
      <c r="AN56" s="210"/>
      <c r="AO56" s="212"/>
      <c r="AP56" s="21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</row>
    <row r="57" spans="1:68" ht="21" customHeight="1">
      <c r="A57" s="3"/>
      <c r="B57" s="3"/>
      <c r="C57" s="3"/>
      <c r="D57" s="32" t="s">
        <v>105</v>
      </c>
      <c r="E57" s="162">
        <f>COUNTIF($E$5:$AM$25,"=국")</f>
        <v>85</v>
      </c>
      <c r="F57" s="216"/>
      <c r="G57" s="217"/>
      <c r="H57" s="162">
        <f>COUNTIF($E$5:$AM$25,"=수")</f>
        <v>52</v>
      </c>
      <c r="I57" s="216"/>
      <c r="J57" s="217"/>
      <c r="K57" s="162">
        <f>COUNTIF($E$5:$AM$25,"=사")</f>
        <v>51</v>
      </c>
      <c r="L57" s="216"/>
      <c r="M57" s="217"/>
      <c r="N57" s="162">
        <f>COUNTIF($E$5:$AM$25,"=과")</f>
        <v>36</v>
      </c>
      <c r="O57" s="216"/>
      <c r="P57" s="217"/>
      <c r="Q57" s="162">
        <f>COUNTIF($E$5:$AM$25,"=실")</f>
        <v>34</v>
      </c>
      <c r="R57" s="216"/>
      <c r="S57" s="217"/>
      <c r="T57" s="162">
        <f>COUNTIF($E$5:$AM$25,"=체")</f>
        <v>44</v>
      </c>
      <c r="U57" s="216"/>
      <c r="V57" s="217"/>
      <c r="W57" s="162">
        <f>COUNTIF($E$5:$AM$25,"=음")</f>
        <v>30</v>
      </c>
      <c r="X57" s="216"/>
      <c r="Y57" s="217"/>
      <c r="Z57" s="162">
        <f>COUNTIF($E$5:$AM$25,"=미")</f>
        <v>31</v>
      </c>
      <c r="AA57" s="216"/>
      <c r="AB57" s="217"/>
      <c r="AC57" s="162">
        <f>COUNTIF($E$5:$AM$25,"=자")</f>
        <v>88</v>
      </c>
      <c r="AD57" s="217"/>
      <c r="AE57" s="162">
        <f>COUNTIF($E$5:$AM$25,"=동")</f>
        <v>19</v>
      </c>
      <c r="AF57" s="217"/>
      <c r="AG57" s="162">
        <f>COUNTIF($E$5:$AM$25,"=진")</f>
        <v>4</v>
      </c>
      <c r="AH57" s="217"/>
      <c r="AI57" s="162">
        <f>COUNTIF($E$5:$AM$25,"=의")</f>
        <v>43</v>
      </c>
      <c r="AJ57" s="217"/>
      <c r="AK57" s="162">
        <f>COUNTIF($E$5:$AM$25,"=선")</f>
        <v>44</v>
      </c>
      <c r="AL57" s="217"/>
      <c r="AM57" s="162">
        <f>SUM(E57:AL57)</f>
        <v>561</v>
      </c>
      <c r="AN57" s="217"/>
      <c r="AO57" s="212"/>
      <c r="AP57" s="21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</row>
    <row r="58" spans="1:68" ht="21" customHeight="1">
      <c r="A58" s="3"/>
      <c r="B58" s="3"/>
      <c r="C58" s="3"/>
      <c r="D58" s="32" t="s">
        <v>106</v>
      </c>
      <c r="E58" s="162">
        <f>COUNTIF($E$30:$AM$49,"=국")</f>
        <v>85</v>
      </c>
      <c r="F58" s="216"/>
      <c r="G58" s="217"/>
      <c r="H58" s="162">
        <f>COUNTIF($E$30:$AM$49,"=수")</f>
        <v>51</v>
      </c>
      <c r="I58" s="216"/>
      <c r="J58" s="217"/>
      <c r="K58" s="162">
        <f>COUNTIF($E$30:$AM$49,"=사")</f>
        <v>51</v>
      </c>
      <c r="L58" s="216"/>
      <c r="M58" s="217"/>
      <c r="N58" s="162">
        <f>COUNTIF($E$30:$AM$49,"=과")</f>
        <v>32</v>
      </c>
      <c r="O58" s="216"/>
      <c r="P58" s="217"/>
      <c r="Q58" s="162">
        <f>COUNTIF($E$30:$AM$49,"=실")</f>
        <v>34</v>
      </c>
      <c r="R58" s="216"/>
      <c r="S58" s="217"/>
      <c r="T58" s="162">
        <f>COUNTIF($E$30:$AM$49,"=체")</f>
        <v>41</v>
      </c>
      <c r="U58" s="216"/>
      <c r="V58" s="217"/>
      <c r="W58" s="162">
        <f>COUNTIF($E$30:$AM$49,"=음")</f>
        <v>29</v>
      </c>
      <c r="X58" s="216"/>
      <c r="Y58" s="217"/>
      <c r="Z58" s="162">
        <f>COUNTIF($E$30:$AM$49,"=미")</f>
        <v>29</v>
      </c>
      <c r="AA58" s="216"/>
      <c r="AB58" s="217"/>
      <c r="AC58" s="162">
        <f>COUNTIF($E$30:$AM$49,"=자")</f>
        <v>74</v>
      </c>
      <c r="AD58" s="217"/>
      <c r="AE58" s="162">
        <f>COUNTIF($E$30:$AM$49,"=동")</f>
        <v>15</v>
      </c>
      <c r="AF58" s="217"/>
      <c r="AG58" s="162">
        <f>COUNTIF($E$30:$AM$49,"=진")</f>
        <v>4</v>
      </c>
      <c r="AH58" s="217"/>
      <c r="AI58" s="162">
        <f>COUNTIF($E$30:$AM$49,"=의")</f>
        <v>42</v>
      </c>
      <c r="AJ58" s="217"/>
      <c r="AK58" s="162">
        <f>COUNTIF($E$30:$AM$49,"=선")</f>
        <v>41</v>
      </c>
      <c r="AL58" s="217"/>
      <c r="AM58" s="162">
        <f>SUM(E58:AL58)</f>
        <v>528</v>
      </c>
      <c r="AN58" s="217"/>
      <c r="AO58" s="212"/>
      <c r="AP58" s="21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</row>
    <row r="59" spans="1:68" ht="21" customHeight="1">
      <c r="A59" s="3"/>
      <c r="B59" s="3"/>
      <c r="C59" s="3"/>
      <c r="D59" s="31" t="s">
        <v>12</v>
      </c>
      <c r="E59" s="163">
        <f>SUM(E57:G58)</f>
        <v>170</v>
      </c>
      <c r="F59" s="187"/>
      <c r="G59" s="215"/>
      <c r="H59" s="163">
        <f>SUM(H57:J58)</f>
        <v>103</v>
      </c>
      <c r="I59" s="187"/>
      <c r="J59" s="215"/>
      <c r="K59" s="163">
        <f>SUM(K57:M58)</f>
        <v>102</v>
      </c>
      <c r="L59" s="187"/>
      <c r="M59" s="215"/>
      <c r="N59" s="163">
        <f>SUM(N57:P58)</f>
        <v>68</v>
      </c>
      <c r="O59" s="187"/>
      <c r="P59" s="215"/>
      <c r="Q59" s="163">
        <f>SUM(Q57:S58)</f>
        <v>68</v>
      </c>
      <c r="R59" s="187"/>
      <c r="S59" s="215"/>
      <c r="T59" s="163">
        <f>SUM(T57:V58)</f>
        <v>85</v>
      </c>
      <c r="U59" s="187"/>
      <c r="V59" s="215"/>
      <c r="W59" s="163">
        <f>SUM(W57:Y58)</f>
        <v>59</v>
      </c>
      <c r="X59" s="187"/>
      <c r="Y59" s="215"/>
      <c r="Z59" s="163">
        <f>SUM(Z57:AB58)</f>
        <v>60</v>
      </c>
      <c r="AA59" s="187"/>
      <c r="AB59" s="215"/>
      <c r="AC59" s="163">
        <f>SUM(AC57:AD58)</f>
        <v>162</v>
      </c>
      <c r="AD59" s="215"/>
      <c r="AE59" s="163">
        <f>SUM(AE57:AF58)</f>
        <v>34</v>
      </c>
      <c r="AF59" s="215"/>
      <c r="AG59" s="163">
        <f>SUM(AG57:AH58)</f>
        <v>8</v>
      </c>
      <c r="AH59" s="215"/>
      <c r="AI59" s="163">
        <f>SUM(AI57:AJ58)</f>
        <v>85</v>
      </c>
      <c r="AJ59" s="215"/>
      <c r="AK59" s="163">
        <f>SUM(AK57:AL58)</f>
        <v>85</v>
      </c>
      <c r="AL59" s="215"/>
      <c r="AM59" s="163">
        <f>SUM(AM57:AN58)</f>
        <v>1089</v>
      </c>
      <c r="AN59" s="215"/>
      <c r="AO59" s="212"/>
      <c r="AP59" s="21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</row>
    <row r="60" spans="1:68" ht="31.5" customHeight="1">
      <c r="A60" s="3"/>
      <c r="B60" s="3"/>
      <c r="C60" s="3"/>
      <c r="D60" s="33" t="s">
        <v>107</v>
      </c>
      <c r="E60" s="165">
        <f>SUM(E59-E56)</f>
        <v>0</v>
      </c>
      <c r="F60" s="199"/>
      <c r="G60" s="218"/>
      <c r="H60" s="165">
        <f>SUM(H59-H56)</f>
        <v>1</v>
      </c>
      <c r="I60" s="199"/>
      <c r="J60" s="218"/>
      <c r="K60" s="165">
        <f>SUM(K59-K56)</f>
        <v>0</v>
      </c>
      <c r="L60" s="199"/>
      <c r="M60" s="218"/>
      <c r="N60" s="165">
        <f>SUM(N59-N56)</f>
        <v>0</v>
      </c>
      <c r="O60" s="199"/>
      <c r="P60" s="218"/>
      <c r="Q60" s="165">
        <f>SUM(Q59-Q56)</f>
        <v>0</v>
      </c>
      <c r="R60" s="199"/>
      <c r="S60" s="218"/>
      <c r="T60" s="165">
        <f>SUM(T59-T56)</f>
        <v>0</v>
      </c>
      <c r="U60" s="199"/>
      <c r="V60" s="218"/>
      <c r="W60" s="165">
        <f>SUM(W59-W56)</f>
        <v>0</v>
      </c>
      <c r="X60" s="199"/>
      <c r="Y60" s="218"/>
      <c r="Z60" s="165">
        <f>SUM(Z59-Z56)</f>
        <v>0</v>
      </c>
      <c r="AA60" s="199"/>
      <c r="AB60" s="218"/>
      <c r="AC60" s="165">
        <f>SUM(AC59-AC56)</f>
        <v>0</v>
      </c>
      <c r="AD60" s="218"/>
      <c r="AE60" s="165">
        <f>SUM(AE59-AE56)</f>
        <v>0</v>
      </c>
      <c r="AF60" s="218"/>
      <c r="AG60" s="165">
        <f>SUM(AG59-AG56)</f>
        <v>0</v>
      </c>
      <c r="AH60" s="218"/>
      <c r="AI60" s="165">
        <f>AI59-AI56</f>
        <v>0</v>
      </c>
      <c r="AJ60" s="218"/>
      <c r="AK60" s="165">
        <f>AK59-AK56</f>
        <v>0</v>
      </c>
      <c r="AL60" s="218"/>
      <c r="AM60" s="165">
        <f>SUM(E60:AL60)</f>
        <v>1</v>
      </c>
      <c r="AN60" s="218"/>
      <c r="AO60" s="164" t="str">
        <f>IF(AN52=AM59,"OK","FALSE")</f>
        <v>OK</v>
      </c>
      <c r="AP60" s="182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</row>
    <row r="61" spans="1:68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</row>
    <row r="62" spans="1:68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</row>
    <row r="63" spans="1:68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</row>
    <row r="64" spans="1:68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</row>
    <row r="65" spans="1:59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</row>
    <row r="66" spans="1:59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</row>
    <row r="67" spans="1:59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</row>
    <row r="68" spans="1:59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</row>
    <row r="69" spans="1:5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</row>
    <row r="70" spans="1:59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</row>
    <row r="71" spans="1:59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</row>
    <row r="72" spans="1:59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</row>
    <row r="73" spans="1:59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</row>
    <row r="74" spans="1:59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</row>
    <row r="75" spans="1:59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</row>
    <row r="76" spans="1:59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</row>
    <row r="77" spans="1:59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</row>
    <row r="78" spans="1:59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</row>
    <row r="79" spans="1:5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</row>
    <row r="80" spans="1:59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</row>
    <row r="81" spans="1:59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</row>
    <row r="82" spans="1:59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</row>
    <row r="83" spans="1:59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</row>
    <row r="84" spans="1:59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</row>
    <row r="85" spans="1:59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</row>
    <row r="86" spans="1:59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</row>
    <row r="87" spans="1:59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</row>
    <row r="88" spans="1:59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</row>
    <row r="89" spans="1:5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</row>
    <row r="90" spans="1:59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</row>
    <row r="91" spans="1:59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</row>
    <row r="92" spans="1:59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</row>
    <row r="93" spans="1:59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</row>
    <row r="94" spans="1:59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</row>
    <row r="95" spans="1:59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</row>
    <row r="96" spans="1:59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</row>
    <row r="97" spans="1:59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</row>
    <row r="98" spans="1:59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</row>
    <row r="99" spans="1:5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</row>
    <row r="100" spans="1:59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</row>
    <row r="101" spans="1:59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</row>
    <row r="102" spans="1:59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</row>
    <row r="103" spans="1:59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</row>
    <row r="104" spans="1:59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</row>
    <row r="105" spans="1:59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</row>
    <row r="106" spans="1:59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</row>
    <row r="107" spans="1:59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</row>
    <row r="108" spans="1:59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</row>
    <row r="109" spans="1:5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</row>
    <row r="110" spans="1:59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</row>
    <row r="111" spans="1:59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</row>
    <row r="112" spans="1:59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</row>
    <row r="113" spans="1:59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</row>
    <row r="114" spans="1:59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</row>
    <row r="115" spans="1:59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</row>
    <row r="116" spans="1:59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</row>
    <row r="117" spans="1:59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</row>
    <row r="118" spans="1:59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</row>
    <row r="119" spans="1:5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</row>
    <row r="120" spans="1:59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</row>
    <row r="121" spans="1:59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</row>
    <row r="122" spans="1:59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</row>
    <row r="123" spans="1:59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</row>
    <row r="124" spans="1:59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</row>
    <row r="125" spans="1:59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</row>
    <row r="126" spans="1:59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</row>
    <row r="127" spans="1:59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</row>
    <row r="128" spans="1:59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</row>
    <row r="129" spans="1:5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</row>
    <row r="130" spans="1:59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</row>
    <row r="131" spans="1:59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</row>
    <row r="132" spans="1:59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</row>
    <row r="133" spans="1:59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</row>
    <row r="134" spans="1:59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</row>
    <row r="135" spans="1:59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</row>
    <row r="136" spans="1:59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</row>
    <row r="137" spans="1:59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</row>
    <row r="138" spans="1:59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</row>
    <row r="139" spans="1:5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</row>
    <row r="140" spans="1:59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</row>
    <row r="141" spans="1:59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</row>
    <row r="142" spans="1:59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</row>
    <row r="143" spans="1:59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</row>
    <row r="144" spans="1:59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</row>
    <row r="145" spans="1:59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</row>
    <row r="146" spans="1:59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</row>
    <row r="147" spans="1:59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</row>
    <row r="148" spans="1:59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</row>
    <row r="149" spans="1:5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</row>
    <row r="150" spans="1:59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</row>
    <row r="151" spans="1:59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</row>
    <row r="152" spans="1:59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</row>
    <row r="153" spans="1:59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</row>
    <row r="154" spans="1:59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</row>
    <row r="155" spans="1:59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</row>
    <row r="156" spans="1:59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</row>
    <row r="157" spans="1:59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</row>
    <row r="158" spans="1:59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</row>
    <row r="159" spans="1: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</row>
    <row r="160" spans="1:59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</row>
    <row r="161" spans="1:59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</row>
    <row r="162" spans="1:59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</row>
    <row r="163" spans="1:59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</row>
    <row r="164" spans="1:59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</row>
    <row r="165" spans="1:59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</row>
    <row r="166" spans="1:59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</row>
    <row r="167" spans="1:59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</row>
    <row r="168" spans="1:59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</row>
    <row r="169" spans="1:5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</row>
    <row r="170" spans="1:59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</row>
    <row r="171" spans="1:59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</row>
    <row r="172" spans="1:59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</row>
    <row r="173" spans="1:59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</row>
    <row r="174" spans="1:59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</row>
    <row r="175" spans="1:59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</row>
    <row r="176" spans="1:59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</row>
    <row r="177" spans="1:59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</row>
    <row r="178" spans="1:59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</row>
    <row r="179" spans="1:5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</row>
    <row r="180" spans="1:59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</row>
    <row r="181" spans="1:59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</row>
    <row r="182" spans="1:59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</row>
    <row r="183" spans="1:59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</row>
    <row r="184" spans="1:59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</row>
    <row r="185" spans="1:59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</row>
    <row r="186" spans="1:59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</row>
    <row r="187" spans="1:59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</row>
    <row r="188" spans="1:59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</row>
    <row r="189" spans="1:5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</row>
    <row r="190" spans="1:59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</row>
    <row r="191" spans="1:59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</row>
    <row r="192" spans="1:59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</row>
    <row r="193" spans="1:59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</row>
    <row r="194" spans="1:59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</row>
    <row r="195" spans="1:59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</row>
    <row r="196" spans="1:59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</row>
    <row r="197" spans="1:59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</row>
    <row r="198" spans="1:59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</row>
    <row r="199" spans="1:5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</row>
    <row r="200" spans="1:59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</row>
    <row r="201" spans="1:59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</row>
    <row r="202" spans="1:59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</row>
    <row r="203" spans="1:59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</row>
    <row r="204" spans="1:59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</row>
    <row r="205" spans="1:59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</row>
    <row r="206" spans="1:59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</row>
    <row r="207" spans="1:59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</row>
    <row r="208" spans="1:59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</row>
    <row r="209" spans="1:5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</row>
    <row r="210" spans="1:59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</row>
    <row r="211" spans="1:59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</row>
    <row r="212" spans="1:59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</row>
    <row r="213" spans="1:59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</row>
    <row r="214" spans="1:59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</row>
    <row r="215" spans="1:59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</row>
    <row r="216" spans="1:59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</row>
    <row r="217" spans="1:59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</row>
    <row r="218" spans="1:59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</row>
    <row r="219" spans="1:5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</row>
    <row r="220" spans="1:59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</row>
    <row r="221" spans="1:59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</row>
    <row r="222" spans="1:59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</row>
    <row r="223" spans="1:59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</row>
    <row r="224" spans="1:59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</row>
    <row r="225" spans="1:59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</row>
    <row r="226" spans="1:59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</row>
    <row r="227" spans="1:59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</row>
    <row r="228" spans="1:59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</row>
    <row r="229" spans="1:5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</row>
    <row r="230" spans="1:59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</row>
    <row r="231" spans="1:59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</row>
    <row r="232" spans="1:59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</row>
    <row r="233" spans="1:59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</row>
    <row r="234" spans="1:59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</row>
    <row r="235" spans="1:59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</row>
    <row r="236" spans="1:59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</row>
    <row r="237" spans="1:59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</row>
    <row r="238" spans="1:59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</row>
    <row r="239" spans="1:5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</row>
    <row r="240" spans="1:59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</row>
    <row r="241" spans="1:59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</row>
    <row r="242" spans="1:59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</row>
    <row r="243" spans="1:59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</row>
    <row r="244" spans="1:59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</row>
    <row r="245" spans="1:59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</row>
    <row r="246" spans="1:59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</row>
    <row r="247" spans="1:59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</row>
    <row r="248" spans="1:59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</row>
    <row r="249" spans="1:5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</row>
    <row r="250" spans="1:59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</row>
    <row r="251" spans="1:59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</row>
    <row r="252" spans="1:59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</row>
    <row r="253" spans="1:59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</row>
    <row r="254" spans="1:59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</row>
    <row r="255" spans="1:59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</row>
    <row r="256" spans="1:59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</row>
    <row r="257" spans="1:59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</row>
    <row r="258" spans="1:59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</row>
    <row r="259" spans="1: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</row>
    <row r="260" spans="1:59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</row>
    <row r="261" spans="1:59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</row>
    <row r="262" spans="1:59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</row>
    <row r="263" spans="1:59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</row>
    <row r="264" spans="1:59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</row>
    <row r="265" spans="1:59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</row>
    <row r="266" spans="1:59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</row>
    <row r="267" spans="1:59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</row>
    <row r="268" spans="1:59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</row>
    <row r="269" spans="1:5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</row>
    <row r="270" spans="1:59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</row>
    <row r="271" spans="1:59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</row>
    <row r="272" spans="1:59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</row>
    <row r="273" spans="1:59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</row>
    <row r="274" spans="1:59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</row>
    <row r="275" spans="1:59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</row>
    <row r="276" spans="1:59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</row>
    <row r="277" spans="1:59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</row>
    <row r="278" spans="1:59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</row>
    <row r="279" spans="1:5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</row>
    <row r="280" spans="1:59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</row>
    <row r="281" spans="1:59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</row>
    <row r="282" spans="1:59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</row>
    <row r="283" spans="1:59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</row>
    <row r="284" spans="1:59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</row>
    <row r="285" spans="1:59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</row>
    <row r="286" spans="1:59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</row>
    <row r="287" spans="1:59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</row>
    <row r="288" spans="1:59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</row>
    <row r="289" spans="1:5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</row>
    <row r="290" spans="1:59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</row>
    <row r="291" spans="1:59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</row>
    <row r="292" spans="1:59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</row>
    <row r="293" spans="1:59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</row>
    <row r="294" spans="1:59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</row>
    <row r="295" spans="1:59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</row>
    <row r="296" spans="1:59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</row>
    <row r="297" spans="1:59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</row>
    <row r="298" spans="1:59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</row>
    <row r="299" spans="1:5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</row>
    <row r="300" spans="1:59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</row>
    <row r="301" spans="1:59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</row>
    <row r="302" spans="1:59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</row>
    <row r="303" spans="1:59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</row>
    <row r="304" spans="1:59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</row>
    <row r="305" spans="1:59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</row>
    <row r="306" spans="1:59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</row>
    <row r="307" spans="1:59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</row>
    <row r="308" spans="1:59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</row>
    <row r="309" spans="1:5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</row>
    <row r="310" spans="1:59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</row>
    <row r="311" spans="1:59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</row>
    <row r="312" spans="1:59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</row>
    <row r="313" spans="1:59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</row>
    <row r="314" spans="1:59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</row>
    <row r="315" spans="1:59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</row>
    <row r="316" spans="1:59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</row>
    <row r="317" spans="1:59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</row>
    <row r="318" spans="1:59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</row>
    <row r="319" spans="1:5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</row>
    <row r="320" spans="1:59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</row>
    <row r="321" spans="1:59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</row>
    <row r="322" spans="1:59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</row>
    <row r="323" spans="1:59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</row>
    <row r="324" spans="1:59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</row>
    <row r="325" spans="1:59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</row>
    <row r="326" spans="1:59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</row>
    <row r="327" spans="1:59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</row>
    <row r="328" spans="1:59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</row>
    <row r="329" spans="1:5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</row>
    <row r="330" spans="1:59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</row>
    <row r="331" spans="1:59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</row>
    <row r="332" spans="1:59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</row>
    <row r="333" spans="1:59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</row>
    <row r="334" spans="1:59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</row>
    <row r="335" spans="1:59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</row>
    <row r="336" spans="1:59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</row>
    <row r="337" spans="1:59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</row>
    <row r="338" spans="1:59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</row>
    <row r="339" spans="1:5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</row>
    <row r="340" spans="1:59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</row>
    <row r="341" spans="1:59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</row>
    <row r="342" spans="1:59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</row>
    <row r="343" spans="1:59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</row>
    <row r="344" spans="1:59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</row>
    <row r="345" spans="1:59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</row>
    <row r="346" spans="1:59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</row>
    <row r="347" spans="1:59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</row>
    <row r="348" spans="1:59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</row>
    <row r="349" spans="1:5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</row>
    <row r="350" spans="1:59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</row>
    <row r="351" spans="1:59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</row>
    <row r="352" spans="1:59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</row>
    <row r="353" spans="1:59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</row>
    <row r="354" spans="1:59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</row>
    <row r="355" spans="1:59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</row>
    <row r="356" spans="1:59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</row>
    <row r="357" spans="1:59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</row>
    <row r="358" spans="1:59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</row>
    <row r="359" spans="1: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</row>
    <row r="360" spans="1:59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</row>
    <row r="361" spans="1:59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</row>
    <row r="362" spans="1:59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</row>
    <row r="363" spans="1:59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</row>
    <row r="364" spans="1:59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</row>
    <row r="365" spans="1:59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</row>
    <row r="366" spans="1:59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</row>
    <row r="367" spans="1:59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</row>
    <row r="368" spans="1:59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</row>
    <row r="369" spans="1:5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</row>
    <row r="370" spans="1:59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</row>
    <row r="371" spans="1:59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</row>
    <row r="372" spans="1:59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</row>
    <row r="373" spans="1:59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</row>
    <row r="374" spans="1:59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</row>
    <row r="375" spans="1:59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</row>
    <row r="376" spans="1:59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</row>
    <row r="377" spans="1:59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</row>
    <row r="378" spans="1:59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</row>
    <row r="379" spans="1:5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</row>
    <row r="380" spans="1:59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</row>
    <row r="381" spans="1:59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</row>
    <row r="382" spans="1:59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</row>
    <row r="383" spans="1:59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</row>
    <row r="384" spans="1:59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</row>
    <row r="385" spans="1:59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</row>
    <row r="386" spans="1:59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</row>
    <row r="387" spans="1:59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</row>
    <row r="388" spans="1:59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</row>
    <row r="389" spans="1:5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</row>
    <row r="390" spans="1:59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</row>
    <row r="391" spans="1:59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</row>
    <row r="392" spans="1:59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</row>
    <row r="393" spans="1:59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</row>
    <row r="394" spans="1:59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</row>
    <row r="395" spans="1:59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</row>
    <row r="396" spans="1:59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</row>
    <row r="397" spans="1:59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</row>
    <row r="398" spans="1:59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</row>
    <row r="399" spans="1:5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</row>
    <row r="400" spans="1:59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</row>
    <row r="401" spans="1:59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</row>
    <row r="402" spans="1:59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</row>
    <row r="403" spans="1:59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</row>
    <row r="404" spans="1:59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</row>
    <row r="405" spans="1:59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</row>
    <row r="406" spans="1:59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</row>
    <row r="407" spans="1:59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</row>
    <row r="408" spans="1:59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</row>
    <row r="409" spans="1:5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</row>
    <row r="410" spans="1:59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</row>
    <row r="411" spans="1:59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</row>
    <row r="412" spans="1:59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</row>
    <row r="413" spans="1:59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</row>
    <row r="414" spans="1:59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</row>
    <row r="415" spans="1:59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</row>
    <row r="416" spans="1:59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</row>
    <row r="417" spans="1:59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</row>
    <row r="418" spans="1:59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</row>
    <row r="419" spans="1:5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</row>
    <row r="420" spans="1:59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</row>
    <row r="421" spans="1:59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</row>
    <row r="422" spans="1:59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</row>
    <row r="423" spans="1:59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</row>
    <row r="424" spans="1:59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</row>
    <row r="425" spans="1:59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</row>
    <row r="426" spans="1:59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</row>
    <row r="427" spans="1:59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</row>
    <row r="428" spans="1:59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</row>
    <row r="429" spans="1:5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</row>
    <row r="430" spans="1:59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</row>
    <row r="431" spans="1:59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</row>
    <row r="432" spans="1:59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</row>
    <row r="433" spans="1:59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</row>
    <row r="434" spans="1:59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</row>
    <row r="435" spans="1:59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</row>
    <row r="436" spans="1:59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</row>
    <row r="437" spans="1:59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</row>
    <row r="438" spans="1:59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</row>
    <row r="439" spans="1:5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</row>
    <row r="440" spans="1:59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</row>
    <row r="441" spans="1:59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</row>
    <row r="442" spans="1:59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</row>
    <row r="443" spans="1:59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</row>
    <row r="444" spans="1:59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</row>
    <row r="445" spans="1:59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</row>
    <row r="446" spans="1:59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</row>
    <row r="447" spans="1:59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</row>
    <row r="448" spans="1:59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</row>
    <row r="449" spans="1:5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</row>
    <row r="450" spans="1:59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</row>
    <row r="451" spans="1:59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</row>
    <row r="452" spans="1:59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</row>
    <row r="453" spans="1:59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</row>
    <row r="454" spans="1:59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</row>
    <row r="455" spans="1:59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</row>
    <row r="456" spans="1:59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</row>
    <row r="457" spans="1:59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</row>
    <row r="458" spans="1:59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</row>
    <row r="459" spans="1: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</row>
    <row r="460" spans="1:59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</row>
    <row r="461" spans="1:59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</row>
    <row r="462" spans="1:59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</row>
    <row r="463" spans="1:59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</row>
    <row r="464" spans="1:59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</row>
    <row r="465" spans="1:59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</row>
    <row r="466" spans="1:59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</row>
    <row r="467" spans="1:59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</row>
    <row r="468" spans="1:59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</row>
    <row r="469" spans="1:5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</row>
    <row r="470" spans="1:59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</row>
    <row r="471" spans="1:59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</row>
    <row r="472" spans="1:59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</row>
    <row r="473" spans="1:59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</row>
    <row r="474" spans="1:59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</row>
    <row r="475" spans="1:59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</row>
    <row r="476" spans="1:59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</row>
    <row r="477" spans="1:59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</row>
    <row r="478" spans="1:59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</row>
    <row r="479" spans="1:5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</row>
    <row r="480" spans="1:59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</row>
    <row r="481" spans="1:59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</row>
    <row r="482" spans="1:59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</row>
    <row r="483" spans="1:59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</row>
    <row r="484" spans="1:59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</row>
    <row r="485" spans="1:59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</row>
    <row r="486" spans="1:59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</row>
    <row r="487" spans="1:59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</row>
    <row r="488" spans="1:59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</row>
    <row r="489" spans="1:5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</row>
    <row r="490" spans="1:59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</row>
    <row r="491" spans="1:59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</row>
    <row r="492" spans="1:59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</row>
    <row r="493" spans="1:59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</row>
    <row r="494" spans="1:59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</row>
    <row r="495" spans="1:59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</row>
    <row r="496" spans="1:59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</row>
    <row r="497" spans="1:59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</row>
    <row r="498" spans="1:59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</row>
    <row r="499" spans="1:5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</row>
    <row r="500" spans="1:59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</row>
    <row r="501" spans="1:59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</row>
    <row r="502" spans="1:59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</row>
    <row r="503" spans="1:59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</row>
    <row r="504" spans="1:59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</row>
    <row r="505" spans="1:59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</row>
    <row r="506" spans="1:59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</row>
    <row r="507" spans="1:59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</row>
    <row r="508" spans="1:59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</row>
    <row r="509" spans="1:5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</row>
    <row r="510" spans="1:59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</row>
    <row r="511" spans="1:59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</row>
    <row r="512" spans="1:59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</row>
    <row r="513" spans="1:59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</row>
    <row r="514" spans="1:59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</row>
    <row r="515" spans="1:59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</row>
    <row r="516" spans="1:59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</row>
    <row r="517" spans="1:59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</row>
    <row r="518" spans="1:59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</row>
    <row r="519" spans="1:5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</row>
    <row r="520" spans="1:59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</row>
    <row r="521" spans="1:59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</row>
    <row r="522" spans="1:59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</row>
    <row r="523" spans="1:59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</row>
    <row r="524" spans="1:59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</row>
    <row r="525" spans="1:59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</row>
    <row r="526" spans="1:59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</row>
    <row r="527" spans="1:59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</row>
    <row r="528" spans="1:59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</row>
    <row r="529" spans="1:5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</row>
    <row r="530" spans="1:59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</row>
    <row r="531" spans="1:59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</row>
    <row r="532" spans="1:59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</row>
    <row r="533" spans="1:59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</row>
    <row r="534" spans="1:59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</row>
    <row r="535" spans="1:59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</row>
    <row r="536" spans="1:59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</row>
    <row r="537" spans="1:59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</row>
    <row r="538" spans="1:59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</row>
    <row r="539" spans="1:5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</row>
    <row r="540" spans="1:59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</row>
    <row r="541" spans="1:59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</row>
    <row r="542" spans="1:59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</row>
    <row r="543" spans="1:59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</row>
    <row r="544" spans="1:59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</row>
    <row r="545" spans="1:59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</row>
    <row r="546" spans="1:59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</row>
    <row r="547" spans="1:59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</row>
    <row r="548" spans="1:59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</row>
    <row r="549" spans="1:5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</row>
    <row r="550" spans="1:59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</row>
    <row r="551" spans="1:59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</row>
    <row r="552" spans="1:59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</row>
    <row r="553" spans="1:59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</row>
    <row r="554" spans="1:59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</row>
    <row r="555" spans="1:59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</row>
    <row r="556" spans="1:59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</row>
    <row r="557" spans="1:59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</row>
    <row r="558" spans="1:59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</row>
    <row r="559" spans="1: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</row>
    <row r="560" spans="1:59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</row>
    <row r="561" spans="1:59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</row>
    <row r="562" spans="1:59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</row>
    <row r="563" spans="1:59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</row>
    <row r="564" spans="1:59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</row>
    <row r="565" spans="1:59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</row>
    <row r="566" spans="1:59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</row>
    <row r="567" spans="1:59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</row>
    <row r="568" spans="1:59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</row>
    <row r="569" spans="1:5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</row>
    <row r="570" spans="1:59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</row>
    <row r="571" spans="1:59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</row>
    <row r="572" spans="1:59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</row>
    <row r="573" spans="1:59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</row>
    <row r="574" spans="1:59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</row>
    <row r="575" spans="1:59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</row>
    <row r="576" spans="1:59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</row>
    <row r="577" spans="1:59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</row>
    <row r="578" spans="1:59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</row>
    <row r="579" spans="1:5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</row>
    <row r="580" spans="1:59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</row>
    <row r="581" spans="1:59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</row>
    <row r="582" spans="1:59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</row>
    <row r="583" spans="1:59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</row>
    <row r="584" spans="1:59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</row>
    <row r="585" spans="1:59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</row>
    <row r="586" spans="1:59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</row>
    <row r="587" spans="1:59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</row>
    <row r="588" spans="1:59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</row>
    <row r="589" spans="1:5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</row>
    <row r="590" spans="1:59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</row>
    <row r="591" spans="1:59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</row>
    <row r="592" spans="1:59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</row>
    <row r="593" spans="1:59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</row>
    <row r="594" spans="1:59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</row>
    <row r="595" spans="1:59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</row>
    <row r="596" spans="1:59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</row>
    <row r="597" spans="1:59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</row>
    <row r="598" spans="1:59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</row>
    <row r="599" spans="1:5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</row>
    <row r="600" spans="1:59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</row>
    <row r="601" spans="1:59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</row>
    <row r="602" spans="1:59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</row>
    <row r="603" spans="1:59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</row>
    <row r="604" spans="1:59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</row>
    <row r="605" spans="1:59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</row>
    <row r="606" spans="1:59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</row>
    <row r="607" spans="1:59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</row>
    <row r="608" spans="1:59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</row>
    <row r="609" spans="1:5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</row>
    <row r="610" spans="1:59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</row>
    <row r="611" spans="1:59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</row>
    <row r="612" spans="1:59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</row>
    <row r="613" spans="1:59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</row>
    <row r="614" spans="1:59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</row>
    <row r="615" spans="1:59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</row>
    <row r="616" spans="1:59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</row>
    <row r="617" spans="1:59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</row>
    <row r="618" spans="1:59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</row>
    <row r="619" spans="1:5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</row>
    <row r="620" spans="1:59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</row>
    <row r="621" spans="1:59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</row>
    <row r="622" spans="1:59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</row>
    <row r="623" spans="1:59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</row>
    <row r="624" spans="1:59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3"/>
      <c r="BG624" s="3"/>
    </row>
    <row r="625" spans="1:59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  <c r="BG625" s="3"/>
    </row>
    <row r="626" spans="1:59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</row>
    <row r="627" spans="1:59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</row>
    <row r="628" spans="1:59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</row>
    <row r="629" spans="1:5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</row>
    <row r="630" spans="1:59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</row>
    <row r="631" spans="1:59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</row>
    <row r="632" spans="1:59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</row>
    <row r="633" spans="1:59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</row>
    <row r="634" spans="1:59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</row>
    <row r="635" spans="1:59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</row>
    <row r="636" spans="1:59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</row>
    <row r="637" spans="1:59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</row>
    <row r="638" spans="1:59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</row>
    <row r="639" spans="1:5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</row>
    <row r="640" spans="1:59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</row>
    <row r="641" spans="1:59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</row>
    <row r="642" spans="1:59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</row>
    <row r="643" spans="1:59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</row>
    <row r="644" spans="1:59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</row>
    <row r="645" spans="1:59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</row>
    <row r="646" spans="1:59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</row>
    <row r="647" spans="1:59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</row>
    <row r="648" spans="1:59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</row>
    <row r="649" spans="1:5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</row>
    <row r="650" spans="1:59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3"/>
    </row>
    <row r="651" spans="1:59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3"/>
      <c r="BG651" s="3"/>
    </row>
    <row r="652" spans="1:59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</row>
    <row r="653" spans="1:59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</row>
    <row r="654" spans="1:59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</row>
    <row r="655" spans="1:59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</row>
    <row r="656" spans="1:59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</row>
    <row r="657" spans="1:59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</row>
    <row r="658" spans="1:59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</row>
    <row r="659" spans="1: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</row>
    <row r="660" spans="1:59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</row>
    <row r="661" spans="1:59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</row>
    <row r="662" spans="1:59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</row>
    <row r="663" spans="1:59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</row>
    <row r="664" spans="1:59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</row>
    <row r="665" spans="1:59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</row>
    <row r="666" spans="1:59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</row>
    <row r="667" spans="1:59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</row>
    <row r="668" spans="1:59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</row>
    <row r="669" spans="1:5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</row>
    <row r="670" spans="1:59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</row>
    <row r="671" spans="1:59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</row>
    <row r="672" spans="1:59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</row>
    <row r="673" spans="1:59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</row>
    <row r="674" spans="1:59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</row>
    <row r="675" spans="1:59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</row>
    <row r="676" spans="1:59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</row>
    <row r="677" spans="1:59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  <c r="BG677" s="3"/>
    </row>
    <row r="678" spans="1:59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</row>
    <row r="679" spans="1:5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</row>
    <row r="680" spans="1:59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</row>
    <row r="681" spans="1:59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</row>
    <row r="682" spans="1:59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</row>
    <row r="683" spans="1:59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</row>
    <row r="684" spans="1:59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</row>
    <row r="685" spans="1:59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</row>
    <row r="686" spans="1:59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</row>
    <row r="687" spans="1:59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</row>
    <row r="688" spans="1:59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</row>
    <row r="689" spans="1:5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</row>
    <row r="690" spans="1:59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</row>
    <row r="691" spans="1:59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</row>
    <row r="692" spans="1:59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</row>
    <row r="693" spans="1:59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</row>
    <row r="694" spans="1:59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</row>
    <row r="695" spans="1:59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</row>
    <row r="696" spans="1:59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</row>
    <row r="697" spans="1:59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</row>
    <row r="698" spans="1:59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</row>
    <row r="699" spans="1:5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</row>
    <row r="700" spans="1:59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</row>
    <row r="701" spans="1:59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</row>
    <row r="702" spans="1:59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  <c r="BF702" s="3"/>
      <c r="BG702" s="3"/>
    </row>
    <row r="703" spans="1:59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  <c r="BG703" s="3"/>
    </row>
    <row r="704" spans="1:59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</row>
    <row r="705" spans="1:59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</row>
    <row r="706" spans="1:59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</row>
    <row r="707" spans="1:59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</row>
    <row r="708" spans="1:59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</row>
    <row r="709" spans="1:5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</row>
    <row r="710" spans="1:59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</row>
    <row r="711" spans="1:59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</row>
    <row r="712" spans="1:59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</row>
    <row r="713" spans="1:59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</row>
    <row r="714" spans="1:59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</row>
    <row r="715" spans="1:59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</row>
    <row r="716" spans="1:59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</row>
    <row r="717" spans="1:59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</row>
    <row r="718" spans="1:59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</row>
    <row r="719" spans="1:5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</row>
    <row r="720" spans="1:59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</row>
    <row r="721" spans="1:59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</row>
    <row r="722" spans="1:59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</row>
    <row r="723" spans="1:59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</row>
    <row r="724" spans="1:59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</row>
    <row r="725" spans="1:59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</row>
    <row r="726" spans="1:59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</row>
    <row r="727" spans="1:59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</row>
    <row r="728" spans="1:59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/>
      <c r="BG728" s="3"/>
    </row>
    <row r="729" spans="1:5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/>
      <c r="BF729" s="3"/>
      <c r="BG729" s="3"/>
    </row>
    <row r="730" spans="1:59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</row>
    <row r="731" spans="1:59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</row>
    <row r="732" spans="1:59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</row>
    <row r="733" spans="1:59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</row>
    <row r="734" spans="1:59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</row>
    <row r="735" spans="1:59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</row>
    <row r="736" spans="1:59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</row>
    <row r="737" spans="1:59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</row>
    <row r="738" spans="1:59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</row>
    <row r="739" spans="1:5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</row>
    <row r="740" spans="1:59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</row>
    <row r="741" spans="1:59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</row>
    <row r="742" spans="1:59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</row>
    <row r="743" spans="1:59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</row>
    <row r="744" spans="1:59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</row>
    <row r="745" spans="1:59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</row>
    <row r="746" spans="1:59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</row>
    <row r="747" spans="1:59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</row>
    <row r="748" spans="1:59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</row>
    <row r="749" spans="1:5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</row>
    <row r="750" spans="1:59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</row>
    <row r="751" spans="1:59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</row>
    <row r="752" spans="1:59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</row>
    <row r="753" spans="1:59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</row>
    <row r="754" spans="1:59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3"/>
      <c r="BF754" s="3"/>
      <c r="BG754" s="3"/>
    </row>
    <row r="755" spans="1:59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/>
      <c r="BF755" s="3"/>
      <c r="BG755" s="3"/>
    </row>
    <row r="756" spans="1:59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</row>
    <row r="757" spans="1:59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</row>
    <row r="758" spans="1:59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</row>
    <row r="759" spans="1: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</row>
    <row r="760" spans="1:59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</row>
    <row r="761" spans="1:59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</row>
    <row r="762" spans="1:59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</row>
    <row r="763" spans="1:59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</row>
    <row r="764" spans="1:59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</row>
    <row r="765" spans="1:59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</row>
    <row r="766" spans="1:59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</row>
    <row r="767" spans="1:59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</row>
    <row r="768" spans="1:59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</row>
    <row r="769" spans="1:5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</row>
    <row r="770" spans="1:59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</row>
    <row r="771" spans="1:59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</row>
    <row r="772" spans="1:59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</row>
    <row r="773" spans="1:59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</row>
    <row r="774" spans="1:59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</row>
    <row r="775" spans="1:59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</row>
    <row r="776" spans="1:59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</row>
    <row r="777" spans="1:59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</row>
    <row r="778" spans="1:59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</row>
    <row r="779" spans="1:5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</row>
    <row r="780" spans="1:59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  <c r="BE780" s="3"/>
      <c r="BF780" s="3"/>
      <c r="BG780" s="3"/>
    </row>
    <row r="781" spans="1:59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  <c r="BE781" s="3"/>
      <c r="BF781" s="3"/>
      <c r="BG781" s="3"/>
    </row>
    <row r="782" spans="1:59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</row>
    <row r="783" spans="1:59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</row>
    <row r="784" spans="1:59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</row>
    <row r="785" spans="1:59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</row>
    <row r="786" spans="1:59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</row>
    <row r="787" spans="1:59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</row>
    <row r="788" spans="1:59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</row>
    <row r="789" spans="1:5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</row>
    <row r="790" spans="1:59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</row>
    <row r="791" spans="1:59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</row>
    <row r="792" spans="1:59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</row>
    <row r="793" spans="1:59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</row>
    <row r="794" spans="1:59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</row>
    <row r="795" spans="1:59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</row>
    <row r="796" spans="1:59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</row>
    <row r="797" spans="1:59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</row>
    <row r="798" spans="1:59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</row>
    <row r="799" spans="1:5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</row>
    <row r="800" spans="1:59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</row>
    <row r="801" spans="1:59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</row>
    <row r="802" spans="1:59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</row>
    <row r="803" spans="1:59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</row>
    <row r="804" spans="1:59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</row>
    <row r="805" spans="1:59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</row>
    <row r="806" spans="1:59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</row>
    <row r="807" spans="1:59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</row>
    <row r="808" spans="1:59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</row>
    <row r="809" spans="1:5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</row>
    <row r="810" spans="1:59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</row>
    <row r="811" spans="1:59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</row>
    <row r="812" spans="1:59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</row>
    <row r="813" spans="1:59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</row>
    <row r="814" spans="1:59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</row>
    <row r="815" spans="1:59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</row>
    <row r="816" spans="1:59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</row>
    <row r="817" spans="1:59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</row>
    <row r="818" spans="1:59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</row>
    <row r="819" spans="1:5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</row>
    <row r="820" spans="1:59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</row>
    <row r="821" spans="1:59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</row>
    <row r="822" spans="1:59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</row>
    <row r="823" spans="1:59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</row>
    <row r="824" spans="1:59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</row>
    <row r="825" spans="1:59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</row>
    <row r="826" spans="1:59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</row>
    <row r="827" spans="1:59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</row>
    <row r="828" spans="1:59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</row>
    <row r="829" spans="1:5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</row>
    <row r="830" spans="1:59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</row>
    <row r="831" spans="1:59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</row>
    <row r="832" spans="1:59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</row>
    <row r="833" spans="1:59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</row>
    <row r="834" spans="1:59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</row>
    <row r="835" spans="1:59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</row>
    <row r="836" spans="1:59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</row>
    <row r="837" spans="1:59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</row>
    <row r="838" spans="1:59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</row>
    <row r="839" spans="1:5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</row>
    <row r="840" spans="1:59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</row>
    <row r="841" spans="1:59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</row>
    <row r="842" spans="1:59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</row>
    <row r="843" spans="1:59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</row>
    <row r="844" spans="1:59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</row>
    <row r="845" spans="1:59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</row>
    <row r="846" spans="1:59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</row>
    <row r="847" spans="1:59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</row>
    <row r="848" spans="1:59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</row>
    <row r="849" spans="1:5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</row>
    <row r="850" spans="1:59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</row>
    <row r="851" spans="1:59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</row>
    <row r="852" spans="1:59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</row>
    <row r="853" spans="1:59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</row>
    <row r="854" spans="1:59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</row>
    <row r="855" spans="1:59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</row>
    <row r="856" spans="1:59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</row>
    <row r="857" spans="1:59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</row>
    <row r="858" spans="1:59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</row>
    <row r="859" spans="1: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  <c r="BG859" s="3"/>
    </row>
    <row r="860" spans="1:59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</row>
    <row r="861" spans="1:59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</row>
    <row r="862" spans="1:59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</row>
    <row r="863" spans="1:59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</row>
    <row r="864" spans="1:59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</row>
    <row r="865" spans="1:59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</row>
    <row r="866" spans="1:59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</row>
    <row r="867" spans="1:59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</row>
    <row r="868" spans="1:59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</row>
    <row r="869" spans="1:5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</row>
    <row r="870" spans="1:59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</row>
    <row r="871" spans="1:59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</row>
    <row r="872" spans="1:59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</row>
    <row r="873" spans="1:59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</row>
    <row r="874" spans="1:59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</row>
    <row r="875" spans="1:59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</row>
    <row r="876" spans="1:59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</row>
    <row r="877" spans="1:59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</row>
    <row r="878" spans="1:59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</row>
    <row r="879" spans="1:5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</row>
    <row r="880" spans="1:59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</row>
    <row r="881" spans="1:59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</row>
    <row r="882" spans="1:59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</row>
    <row r="883" spans="1:59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</row>
    <row r="884" spans="1:59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</row>
    <row r="885" spans="1:59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</row>
    <row r="886" spans="1:59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</row>
    <row r="887" spans="1:59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</row>
    <row r="888" spans="1:59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</row>
    <row r="889" spans="1:5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</row>
    <row r="890" spans="1:59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</row>
    <row r="891" spans="1:59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</row>
    <row r="892" spans="1:59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</row>
    <row r="893" spans="1:59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</row>
    <row r="894" spans="1:59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</row>
    <row r="895" spans="1:59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</row>
    <row r="896" spans="1:59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</row>
    <row r="897" spans="1:59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</row>
    <row r="898" spans="1:59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</row>
    <row r="899" spans="1:5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</row>
    <row r="900" spans="1:59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</row>
    <row r="901" spans="1:59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</row>
    <row r="902" spans="1:59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</row>
    <row r="903" spans="1:59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</row>
    <row r="904" spans="1:59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</row>
    <row r="905" spans="1:59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</row>
    <row r="906" spans="1:59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</row>
    <row r="907" spans="1:59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</row>
    <row r="908" spans="1:59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</row>
    <row r="909" spans="1:5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</row>
    <row r="910" spans="1:59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</row>
    <row r="911" spans="1:59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/>
    </row>
    <row r="912" spans="1:59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</row>
    <row r="913" spans="1:59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</row>
    <row r="914" spans="1:59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</row>
    <row r="915" spans="1:59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</row>
    <row r="916" spans="1:59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</row>
    <row r="917" spans="1:59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</row>
    <row r="918" spans="1:59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</row>
    <row r="919" spans="1:5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</row>
    <row r="920" spans="1:59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</row>
    <row r="921" spans="1:59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</row>
    <row r="922" spans="1:59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</row>
    <row r="923" spans="1:59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</row>
    <row r="924" spans="1:59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</row>
    <row r="925" spans="1:59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</row>
    <row r="926" spans="1:59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</row>
    <row r="927" spans="1:59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</row>
    <row r="928" spans="1:59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</row>
    <row r="929" spans="1:5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</row>
    <row r="930" spans="1:59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</row>
    <row r="931" spans="1:59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</row>
    <row r="932" spans="1:59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</row>
    <row r="933" spans="1:59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</row>
    <row r="934" spans="1:59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</row>
    <row r="935" spans="1:59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</row>
    <row r="936" spans="1:59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3"/>
      <c r="BF936" s="3"/>
      <c r="BG936" s="3"/>
    </row>
    <row r="937" spans="1:59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  <c r="BE937" s="3"/>
      <c r="BF937" s="3"/>
      <c r="BG937" s="3"/>
    </row>
    <row r="938" spans="1:59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3"/>
      <c r="BG938" s="3"/>
    </row>
    <row r="939" spans="1:5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3"/>
      <c r="BF939" s="3"/>
      <c r="BG939" s="3"/>
    </row>
    <row r="940" spans="1:59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  <c r="BF940" s="3"/>
      <c r="BG940" s="3"/>
    </row>
    <row r="941" spans="1:59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3"/>
      <c r="BF941" s="3"/>
      <c r="BG941" s="3"/>
    </row>
    <row r="942" spans="1:59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3"/>
      <c r="BF942" s="3"/>
      <c r="BG942" s="3"/>
    </row>
    <row r="943" spans="1:59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3"/>
      <c r="BF943" s="3"/>
      <c r="BG943" s="3"/>
    </row>
    <row r="944" spans="1:59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  <c r="BE944" s="3"/>
      <c r="BF944" s="3"/>
      <c r="BG944" s="3"/>
    </row>
    <row r="945" spans="1:59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  <c r="BE945" s="3"/>
      <c r="BF945" s="3"/>
      <c r="BG945" s="3"/>
    </row>
    <row r="946" spans="1:59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  <c r="BE946" s="3"/>
      <c r="BF946" s="3"/>
      <c r="BG946" s="3"/>
    </row>
    <row r="947" spans="1:59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  <c r="BE947" s="3"/>
      <c r="BF947" s="3"/>
      <c r="BG947" s="3"/>
    </row>
    <row r="948" spans="1:59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  <c r="BE948" s="3"/>
      <c r="BF948" s="3"/>
      <c r="BG948" s="3"/>
    </row>
    <row r="949" spans="1:5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  <c r="BE949" s="3"/>
      <c r="BF949" s="3"/>
      <c r="BG949" s="3"/>
    </row>
    <row r="950" spans="1:59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</row>
    <row r="951" spans="1:59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</row>
    <row r="952" spans="1:59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</row>
    <row r="953" spans="1:59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</row>
    <row r="954" spans="1:59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  <c r="BE954" s="3"/>
      <c r="BF954" s="3"/>
      <c r="BG954" s="3"/>
    </row>
    <row r="955" spans="1:59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  <c r="BE955" s="3"/>
      <c r="BF955" s="3"/>
      <c r="BG955" s="3"/>
    </row>
    <row r="956" spans="1:59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  <c r="BE956" s="3"/>
      <c r="BF956" s="3"/>
      <c r="BG956" s="3"/>
    </row>
    <row r="957" spans="1:59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  <c r="BD957" s="3"/>
      <c r="BE957" s="3"/>
      <c r="BF957" s="3"/>
      <c r="BG957" s="3"/>
    </row>
    <row r="958" spans="1:59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  <c r="BE958" s="3"/>
      <c r="BF958" s="3"/>
      <c r="BG958" s="3"/>
    </row>
    <row r="959" spans="1: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  <c r="BE959" s="3"/>
      <c r="BF959" s="3"/>
      <c r="BG959" s="3"/>
    </row>
    <row r="960" spans="1:59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  <c r="BE960" s="3"/>
      <c r="BF960" s="3"/>
      <c r="BG960" s="3"/>
    </row>
    <row r="961" spans="1:59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  <c r="BD961" s="3"/>
      <c r="BE961" s="3"/>
      <c r="BF961" s="3"/>
      <c r="BG961" s="3"/>
    </row>
    <row r="962" spans="1:59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  <c r="BE962" s="3"/>
      <c r="BF962" s="3"/>
      <c r="BG962" s="3"/>
    </row>
    <row r="963" spans="1:59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  <c r="BE963" s="3"/>
      <c r="BF963" s="3"/>
      <c r="BG963" s="3"/>
    </row>
    <row r="964" spans="1:59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3"/>
      <c r="BE964" s="3"/>
      <c r="BF964" s="3"/>
      <c r="BG964" s="3"/>
    </row>
    <row r="965" spans="1:59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/>
      <c r="BE965" s="3"/>
      <c r="BF965" s="3"/>
      <c r="BG965" s="3"/>
    </row>
    <row r="966" spans="1:59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/>
      <c r="BE966" s="3"/>
      <c r="BF966" s="3"/>
      <c r="BG966" s="3"/>
    </row>
    <row r="967" spans="1:59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  <c r="BE967" s="3"/>
      <c r="BF967" s="3"/>
      <c r="BG967" s="3"/>
    </row>
    <row r="968" spans="1:59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  <c r="BD968" s="3"/>
      <c r="BE968" s="3"/>
      <c r="BF968" s="3"/>
      <c r="BG968" s="3"/>
    </row>
    <row r="969" spans="1:5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  <c r="BD969" s="3"/>
      <c r="BE969" s="3"/>
      <c r="BF969" s="3"/>
      <c r="BG969" s="3"/>
    </row>
    <row r="970" spans="1:59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  <c r="BD970" s="3"/>
      <c r="BE970" s="3"/>
      <c r="BF970" s="3"/>
      <c r="BG970" s="3"/>
    </row>
    <row r="971" spans="1:59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  <c r="BD971" s="3"/>
      <c r="BE971" s="3"/>
      <c r="BF971" s="3"/>
      <c r="BG971" s="3"/>
    </row>
    <row r="972" spans="1:59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/>
      <c r="BE972" s="3"/>
      <c r="BF972" s="3"/>
      <c r="BG972" s="3"/>
    </row>
    <row r="973" spans="1:59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  <c r="BD973" s="3"/>
      <c r="BE973" s="3"/>
      <c r="BF973" s="3"/>
      <c r="BG973" s="3"/>
    </row>
    <row r="974" spans="1:59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</row>
    <row r="975" spans="1:59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</row>
    <row r="976" spans="1:59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</row>
    <row r="977" spans="1:59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</row>
    <row r="978" spans="1:59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  <c r="BD978" s="3"/>
      <c r="BE978" s="3"/>
      <c r="BF978" s="3"/>
      <c r="BG978" s="3"/>
    </row>
    <row r="979" spans="1:5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  <c r="BD979" s="3"/>
      <c r="BE979" s="3"/>
      <c r="BF979" s="3"/>
      <c r="BG979" s="3"/>
    </row>
    <row r="980" spans="1:59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  <c r="BD980" s="3"/>
      <c r="BE980" s="3"/>
      <c r="BF980" s="3"/>
      <c r="BG980" s="3"/>
    </row>
    <row r="981" spans="1:59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  <c r="BD981" s="3"/>
      <c r="BE981" s="3"/>
      <c r="BF981" s="3"/>
      <c r="BG981" s="3"/>
    </row>
    <row r="982" spans="1:59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  <c r="BD982" s="3"/>
      <c r="BE982" s="3"/>
      <c r="BF982" s="3"/>
      <c r="BG982" s="3"/>
    </row>
    <row r="983" spans="1:59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  <c r="BD983" s="3"/>
      <c r="BE983" s="3"/>
      <c r="BF983" s="3"/>
      <c r="BG983" s="3"/>
    </row>
    <row r="984" spans="1:59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  <c r="BD984" s="3"/>
      <c r="BE984" s="3"/>
      <c r="BF984" s="3"/>
      <c r="BG984" s="3"/>
    </row>
    <row r="985" spans="1:59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  <c r="BD985" s="3"/>
      <c r="BE985" s="3"/>
      <c r="BF985" s="3"/>
      <c r="BG985" s="3"/>
    </row>
    <row r="986" spans="1:59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  <c r="BD986" s="3"/>
      <c r="BE986" s="3"/>
      <c r="BF986" s="3"/>
      <c r="BG986" s="3"/>
    </row>
    <row r="987" spans="1:59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  <c r="BD987" s="3"/>
      <c r="BE987" s="3"/>
      <c r="BF987" s="3"/>
      <c r="BG987" s="3"/>
    </row>
    <row r="988" spans="1:59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  <c r="BD988" s="3"/>
      <c r="BE988" s="3"/>
      <c r="BF988" s="3"/>
      <c r="BG988" s="3"/>
    </row>
    <row r="989" spans="1:5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  <c r="BD989" s="3"/>
      <c r="BE989" s="3"/>
      <c r="BF989" s="3"/>
      <c r="BG989" s="3"/>
    </row>
    <row r="990" spans="1:59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  <c r="BD990" s="3"/>
      <c r="BE990" s="3"/>
      <c r="BF990" s="3"/>
      <c r="BG990" s="3"/>
    </row>
    <row r="991" spans="1:59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  <c r="BD991" s="3"/>
      <c r="BE991" s="3"/>
      <c r="BF991" s="3"/>
      <c r="BG991" s="3"/>
    </row>
    <row r="992" spans="1:59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  <c r="BA992" s="3"/>
      <c r="BB992" s="3"/>
      <c r="BC992" s="3"/>
      <c r="BD992" s="3"/>
      <c r="BE992" s="3"/>
      <c r="BF992" s="3"/>
      <c r="BG992" s="3"/>
    </row>
    <row r="993" spans="1:59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/>
      <c r="BA993" s="3"/>
      <c r="BB993" s="3"/>
      <c r="BC993" s="3"/>
      <c r="BD993" s="3"/>
      <c r="BE993" s="3"/>
      <c r="BF993" s="3"/>
      <c r="BG993" s="3"/>
    </row>
    <row r="994" spans="1:59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  <c r="BD994" s="3"/>
      <c r="BE994" s="3"/>
      <c r="BF994" s="3"/>
      <c r="BG994" s="3"/>
    </row>
    <row r="995" spans="1:59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  <c r="BD995" s="3"/>
      <c r="BE995" s="3"/>
      <c r="BF995" s="3"/>
      <c r="BG995" s="3"/>
    </row>
    <row r="996" spans="1:59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  <c r="BD996" s="3"/>
      <c r="BE996" s="3"/>
      <c r="BF996" s="3"/>
      <c r="BG996" s="3"/>
    </row>
    <row r="997" spans="1:59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  <c r="BD997" s="3"/>
      <c r="BE997" s="3"/>
      <c r="BF997" s="3"/>
      <c r="BG997" s="3"/>
    </row>
    <row r="998" spans="1:59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  <c r="BG998" s="3"/>
    </row>
    <row r="999" spans="1:5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/>
      <c r="BG999" s="3"/>
    </row>
  </sheetData>
  <mergeCells count="171">
    <mergeCell ref="AO60:AP60"/>
    <mergeCell ref="AE59:AF59"/>
    <mergeCell ref="AG59:AH59"/>
    <mergeCell ref="AI59:AJ59"/>
    <mergeCell ref="AK59:AL59"/>
    <mergeCell ref="AM59:AN59"/>
    <mergeCell ref="E60:G60"/>
    <mergeCell ref="H60:J60"/>
    <mergeCell ref="K60:M60"/>
    <mergeCell ref="N60:P60"/>
    <mergeCell ref="Q60:S60"/>
    <mergeCell ref="T60:V60"/>
    <mergeCell ref="W60:Y60"/>
    <mergeCell ref="Z60:AB60"/>
    <mergeCell ref="AC60:AD60"/>
    <mergeCell ref="AE60:AF60"/>
    <mergeCell ref="AG60:AH60"/>
    <mergeCell ref="AI60:AJ60"/>
    <mergeCell ref="AK60:AL60"/>
    <mergeCell ref="AM60:AN60"/>
    <mergeCell ref="E59:G59"/>
    <mergeCell ref="H59:J59"/>
    <mergeCell ref="K59:M59"/>
    <mergeCell ref="N59:P59"/>
    <mergeCell ref="Q59:S59"/>
    <mergeCell ref="T59:V59"/>
    <mergeCell ref="W59:Y59"/>
    <mergeCell ref="Z59:AB59"/>
    <mergeCell ref="AC59:AD59"/>
    <mergeCell ref="E58:G58"/>
    <mergeCell ref="H58:J58"/>
    <mergeCell ref="K58:M58"/>
    <mergeCell ref="N58:P58"/>
    <mergeCell ref="Q58:S58"/>
    <mergeCell ref="T58:V58"/>
    <mergeCell ref="W58:Y58"/>
    <mergeCell ref="Z58:AB58"/>
    <mergeCell ref="AC58:AD58"/>
    <mergeCell ref="E57:G57"/>
    <mergeCell ref="H57:J57"/>
    <mergeCell ref="K57:M57"/>
    <mergeCell ref="N57:P57"/>
    <mergeCell ref="Q57:S57"/>
    <mergeCell ref="T57:V57"/>
    <mergeCell ref="W57:Y57"/>
    <mergeCell ref="Z57:AB57"/>
    <mergeCell ref="AC57:AD57"/>
    <mergeCell ref="E56:G56"/>
    <mergeCell ref="H56:J56"/>
    <mergeCell ref="K56:M56"/>
    <mergeCell ref="N56:P56"/>
    <mergeCell ref="Q56:S56"/>
    <mergeCell ref="T56:V56"/>
    <mergeCell ref="W56:Y56"/>
    <mergeCell ref="Z56:AB56"/>
    <mergeCell ref="AC56:AD56"/>
    <mergeCell ref="AC54:AH54"/>
    <mergeCell ref="AI54:AL54"/>
    <mergeCell ref="AM54:AN55"/>
    <mergeCell ref="AO54:AP59"/>
    <mergeCell ref="AC55:AD55"/>
    <mergeCell ref="AE55:AF55"/>
    <mergeCell ref="AG55:AH55"/>
    <mergeCell ref="AI55:AJ55"/>
    <mergeCell ref="AK55:AL55"/>
    <mergeCell ref="AE56:AF56"/>
    <mergeCell ref="AG56:AH56"/>
    <mergeCell ref="AI56:AJ56"/>
    <mergeCell ref="AK56:AL56"/>
    <mergeCell ref="AM56:AN56"/>
    <mergeCell ref="AE57:AF57"/>
    <mergeCell ref="AG57:AH57"/>
    <mergeCell ref="AI57:AJ57"/>
    <mergeCell ref="AK57:AL57"/>
    <mergeCell ref="AM57:AN57"/>
    <mergeCell ref="AE58:AF58"/>
    <mergeCell ref="AG58:AH58"/>
    <mergeCell ref="AI58:AJ58"/>
    <mergeCell ref="AK58:AL58"/>
    <mergeCell ref="AM58:AN58"/>
    <mergeCell ref="D54:D55"/>
    <mergeCell ref="E54:G55"/>
    <mergeCell ref="H54:J55"/>
    <mergeCell ref="K54:M55"/>
    <mergeCell ref="N54:P55"/>
    <mergeCell ref="Q54:S55"/>
    <mergeCell ref="T54:V55"/>
    <mergeCell ref="W54:Y55"/>
    <mergeCell ref="Z54:AB55"/>
    <mergeCell ref="A51:C52"/>
    <mergeCell ref="D51:D52"/>
    <mergeCell ref="E51:K51"/>
    <mergeCell ref="L51:R51"/>
    <mergeCell ref="S51:Y51"/>
    <mergeCell ref="Z51:AF51"/>
    <mergeCell ref="AG51:AM51"/>
    <mergeCell ref="E52:K52"/>
    <mergeCell ref="L52:R52"/>
    <mergeCell ref="S52:Y52"/>
    <mergeCell ref="Z52:AF52"/>
    <mergeCell ref="AG52:AM52"/>
    <mergeCell ref="A36:A40"/>
    <mergeCell ref="E37:K37"/>
    <mergeCell ref="AG37:AM37"/>
    <mergeCell ref="A41:A44"/>
    <mergeCell ref="A45:A49"/>
    <mergeCell ref="AG48:AM48"/>
    <mergeCell ref="A50:C50"/>
    <mergeCell ref="E50:K50"/>
    <mergeCell ref="L50:R50"/>
    <mergeCell ref="S50:Y50"/>
    <mergeCell ref="Z50:AF50"/>
    <mergeCell ref="AG50:AM50"/>
    <mergeCell ref="AN28:AN29"/>
    <mergeCell ref="AO28:AO29"/>
    <mergeCell ref="AX28:AZ28"/>
    <mergeCell ref="BA28:BB28"/>
    <mergeCell ref="A30:A31"/>
    <mergeCell ref="P30:R30"/>
    <mergeCell ref="A32:A35"/>
    <mergeCell ref="S35:Y35"/>
    <mergeCell ref="Z35:AF35"/>
    <mergeCell ref="AG35:AM35"/>
    <mergeCell ref="A28:A29"/>
    <mergeCell ref="B28:B29"/>
    <mergeCell ref="C28:C29"/>
    <mergeCell ref="D28:D29"/>
    <mergeCell ref="E28:K28"/>
    <mergeCell ref="L28:R28"/>
    <mergeCell ref="S28:Y28"/>
    <mergeCell ref="Z28:AF28"/>
    <mergeCell ref="AG28:AM28"/>
    <mergeCell ref="A18:A21"/>
    <mergeCell ref="S18:Y18"/>
    <mergeCell ref="A22:A25"/>
    <mergeCell ref="AG24:AM24"/>
    <mergeCell ref="AK25:AM25"/>
    <mergeCell ref="A26:C26"/>
    <mergeCell ref="E26:K26"/>
    <mergeCell ref="L26:R26"/>
    <mergeCell ref="S26:Y26"/>
    <mergeCell ref="Z26:AF26"/>
    <mergeCell ref="AG26:AM26"/>
    <mergeCell ref="A5:A8"/>
    <mergeCell ref="E5:K5"/>
    <mergeCell ref="O5:R5"/>
    <mergeCell ref="A9:A12"/>
    <mergeCell ref="A13:A17"/>
    <mergeCell ref="AG13:AM13"/>
    <mergeCell ref="E14:K14"/>
    <mergeCell ref="L14:R14"/>
    <mergeCell ref="E17:K17"/>
    <mergeCell ref="A1:AN1"/>
    <mergeCell ref="B2:L2"/>
    <mergeCell ref="AI2:AN2"/>
    <mergeCell ref="AS2:AT2"/>
    <mergeCell ref="AX2:AZ2"/>
    <mergeCell ref="BA2:BB2"/>
    <mergeCell ref="A3:A4"/>
    <mergeCell ref="B3:B4"/>
    <mergeCell ref="C3:C4"/>
    <mergeCell ref="D3:D4"/>
    <mergeCell ref="E3:K3"/>
    <mergeCell ref="L3:R3"/>
    <mergeCell ref="S3:Y3"/>
    <mergeCell ref="Z3:AF3"/>
    <mergeCell ref="AG3:AM3"/>
    <mergeCell ref="AN3:AN4"/>
    <mergeCell ref="AO3:AO4"/>
    <mergeCell ref="AX3:AZ3"/>
    <mergeCell ref="BA3:BB3"/>
  </mergeCells>
  <dataValidations count="1">
    <dataValidation type="list" allowBlank="1" showErrorMessage="1" sqref="L53:X53" xr:uid="{00000000-0002-0000-0300-000000000000}">
      <formula1>$AP$4:$AZ$4</formula1>
    </dataValidation>
  </dataValidations>
  <pageMargins left="0.31902778148651123" right="0.24763889610767365" top="0.27958333492279053" bottom="0.31736111640930176" header="0" footer="0"/>
  <pageSetup paperSize="9" scale="36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선생님</dc:creator>
  <cp:keywords/>
  <dc:description/>
  <cp:lastModifiedBy>게스트 사용자</cp:lastModifiedBy>
  <cp:revision>126</cp:revision>
  <dcterms:created xsi:type="dcterms:W3CDTF">2012-06-28T05:28:52Z</dcterms:created>
  <dcterms:modified xsi:type="dcterms:W3CDTF">2026-03-11T01:30:23Z</dcterms:modified>
  <cp:category/>
  <cp:contentStatus/>
</cp:coreProperties>
</file>